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13_ncr:1_{FED3AEEC-A554-484D-BD86-299CA6FC456B}" xr6:coauthVersionLast="47" xr6:coauthVersionMax="47" xr10:uidLastSave="{00000000-0000-0000-0000-000000000000}"/>
  <bookViews>
    <workbookView xWindow="-120" yWindow="-120" windowWidth="20730" windowHeight="11160" xr2:uid="{98BF9AFA-3F3A-4578-99DD-9CB0F364220F}"/>
  </bookViews>
  <sheets>
    <sheet name="Finance_data" sheetId="1" r:id="rId1"/>
    <sheet name="Basic" sheetId="2" r:id="rId2"/>
    <sheet name="Investment" sheetId="4" r:id="rId3"/>
    <sheet name="Strategic" sheetId="5" r:id="rId4"/>
    <sheet name="Insights" sheetId="6" r:id="rId5"/>
  </sheets>
  <definedNames>
    <definedName name="_xlnm._FilterDatabase" localSheetId="0" hidden="1">Finance_data!$A$1:$AD$1</definedName>
    <definedName name="Slicer_Age">#N/A</definedName>
    <definedName name="Slicer_Age1">#N/A</definedName>
    <definedName name="Slicer_Gender">#N/A</definedName>
    <definedName name="Slicer_Gender1">#N/A</definedName>
  </definedNames>
  <calcPr calcId="191029"/>
  <pivotCaches>
    <pivotCache cacheId="0" r:id="rId6"/>
    <pivotCache cacheId="1" r:id="rId7"/>
    <pivotCache cacheId="2" r:id="rId8"/>
    <pivotCache cacheId="4" r:id="rId9"/>
    <pivotCache cacheId="5" r:id="rId10"/>
    <pivotCache cacheId="6" r:id="rId11"/>
    <pivotCache cacheId="15"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5" i="1"/>
  <c r="AB6" i="1"/>
  <c r="AB7" i="1"/>
  <c r="AB8" i="1"/>
  <c r="AB9" i="1"/>
  <c r="AB10" i="1"/>
  <c r="AB11" i="1"/>
  <c r="AB3" i="1"/>
  <c r="AB4"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2" i="1"/>
  <c r="L21" i="4" s="1"/>
  <c r="Y3" i="1" a="1"/>
  <c r="Y3" i="1"/>
  <c r="Y4" i="1" a="1"/>
  <c r="Y4" i="1"/>
  <c r="Y5" i="1" a="1"/>
  <c r="Y5" i="1"/>
  <c r="Y6" i="1" a="1"/>
  <c r="Y6" i="1"/>
  <c r="Y7" i="1" a="1"/>
  <c r="Y7" i="1"/>
  <c r="Y8" i="1" a="1"/>
  <c r="Y8" i="1"/>
  <c r="Y9" i="1" a="1"/>
  <c r="Y9" i="1"/>
  <c r="Y10" i="1" a="1"/>
  <c r="Y10" i="1"/>
  <c r="Y11" i="1" a="1"/>
  <c r="Y11" i="1"/>
  <c r="Y12" i="1" a="1"/>
  <c r="Y12" i="1"/>
  <c r="Y13" i="1" a="1"/>
  <c r="Y13" i="1"/>
  <c r="Y14" i="1" a="1"/>
  <c r="Y14" i="1"/>
  <c r="Y15" i="1" a="1"/>
  <c r="Y15" i="1"/>
  <c r="Y16" i="1" a="1"/>
  <c r="Y16" i="1"/>
  <c r="Y17" i="1" a="1"/>
  <c r="Y17" i="1"/>
  <c r="Y18" i="1" a="1"/>
  <c r="Y18" i="1"/>
  <c r="Y19" i="1" a="1"/>
  <c r="Y19" i="1"/>
  <c r="Y20" i="1" a="1"/>
  <c r="Y20" i="1"/>
  <c r="Y21" i="1" a="1"/>
  <c r="Y21" i="1"/>
  <c r="Y22" i="1" a="1"/>
  <c r="Y22" i="1"/>
  <c r="Y23" i="1" a="1"/>
  <c r="Y23" i="1"/>
  <c r="Y24" i="1" a="1"/>
  <c r="Y24" i="1"/>
  <c r="Y25" i="1" a="1"/>
  <c r="Y25" i="1"/>
  <c r="Y26" i="1" a="1"/>
  <c r="Y26" i="1"/>
  <c r="Y27" i="1" a="1"/>
  <c r="Y27" i="1"/>
  <c r="Y28" i="1" a="1"/>
  <c r="Y28" i="1"/>
  <c r="Y29" i="1" a="1"/>
  <c r="Y29" i="1"/>
  <c r="Y30" i="1" a="1"/>
  <c r="Y30" i="1"/>
  <c r="Y31" i="1" a="1"/>
  <c r="Y31" i="1"/>
  <c r="Y32" i="1" a="1"/>
  <c r="Y32" i="1"/>
  <c r="Y33" i="1" a="1"/>
  <c r="Y33" i="1"/>
  <c r="Y34" i="1" a="1"/>
  <c r="Y34" i="1"/>
  <c r="Y35" i="1" a="1"/>
  <c r="Y35" i="1"/>
  <c r="Y36" i="1" a="1"/>
  <c r="Y36" i="1"/>
  <c r="Y37" i="1" a="1"/>
  <c r="Y37" i="1"/>
  <c r="Y38" i="1" a="1"/>
  <c r="Y38" i="1"/>
  <c r="Y39" i="1" a="1"/>
  <c r="Y39" i="1"/>
  <c r="Y40" i="1" a="1"/>
  <c r="Y40" i="1"/>
  <c r="Y41" i="1" a="1"/>
  <c r="Y41" i="1"/>
  <c r="Y2" i="1" a="1"/>
  <c r="Y2" i="1"/>
  <c r="E4" i="2"/>
  <c r="E18" i="2"/>
  <c r="J42" i="1"/>
  <c r="E15" i="2" s="1"/>
  <c r="I42" i="1"/>
  <c r="H42" i="1"/>
  <c r="G42" i="1"/>
  <c r="F42" i="1"/>
  <c r="E42" i="1"/>
  <c r="D42" i="1"/>
  <c r="L20" i="4" s="1"/>
  <c r="E10" i="2"/>
  <c r="E8" i="2"/>
  <c r="E7" i="2"/>
  <c r="A1" i="1"/>
  <c r="E16" i="2" l="1"/>
  <c r="L1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<sst xmlns="http://schemas.openxmlformats.org/spreadsheetml/2006/main" count="832" uniqueCount="168">
  <si>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</si>
  <si>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</si>
  <si>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</si>
  <si>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</si>
  <si>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</si>
  <si>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</si>
  <si>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</si>
  <si>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</si>
  <si>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</si>
  <si>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</si>
  <si>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</si>
  <si>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</si>
  <si>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</si>
  <si>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</si>
  <si>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</si>
  <si>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</si>
  <si>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</si>
  <si>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</si>
  <si>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</si>
  <si>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</si>
  <si>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</si>
  <si>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</si>
  <si>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</si>
  <si>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</si>
  <si>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</si>
  <si>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</si>
  <si>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</si>
  <si>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</si>
  <si>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</si>
  <si>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</si>
  <si>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</si>
  <si>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</si>
  <si>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</si>
  <si>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</si>
  <si>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</si>
  <si>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</si>
  <si>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</si>
  <si>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</si>
  <si>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</si>
  <si>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</si>
  <si>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</si>
  <si>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</si>
  <si>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</si>
  <si>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</si>
  <si>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</si>
  <si>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</si>
  <si>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</si>
  <si>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</si>
  <si>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</si>
  <si>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</si>
  <si>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</si>
  <si>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</si>
  <si>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</si>
  <si>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</si>
  <si>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</si>
  <si>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</si>
  <si>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</si>
  <si>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</si>
  <si>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</si>
  <si>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</si>
  <si>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</si>
  <si>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</si>
  <si>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</si>
  <si>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</si>
  <si>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</si>
  <si>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</si>
  <si>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1. Total Investors</t>
  </si>
  <si>
    <t>Age</t>
  </si>
  <si>
    <t>2. Gender vise inv</t>
  </si>
  <si>
    <t>Grand Total</t>
  </si>
  <si>
    <t>Row Labels</t>
  </si>
  <si>
    <t/>
  </si>
  <si>
    <t>3. Avg age of investors</t>
  </si>
  <si>
    <t xml:space="preserve">4. Most prefered investment </t>
  </si>
  <si>
    <t>Count of Mutual_Funds</t>
  </si>
  <si>
    <t>Count of Equity_Market</t>
  </si>
  <si>
    <t>Count of Fixed_Deposits</t>
  </si>
  <si>
    <t>Count</t>
  </si>
  <si>
    <t>6. Gender VS Investment Avenues</t>
  </si>
  <si>
    <t xml:space="preserve">7. Top 3 savings objectives. </t>
  </si>
  <si>
    <t xml:space="preserve">8. Chart of preference for Gold vs Equity. </t>
  </si>
  <si>
    <t>Metrics</t>
  </si>
  <si>
    <t>Value</t>
  </si>
  <si>
    <t>5. COUNT of Values</t>
  </si>
  <si>
    <t xml:space="preserve">9. % of investors monitor investments daily? </t>
  </si>
  <si>
    <t>Basic Investment Insights</t>
  </si>
  <si>
    <t>Column Labels</t>
  </si>
  <si>
    <t>Count of Investment_Avenues</t>
  </si>
  <si>
    <t>Age Group</t>
  </si>
  <si>
    <t>25-30</t>
  </si>
  <si>
    <t>30-35</t>
  </si>
  <si>
    <t>Above 40</t>
  </si>
  <si>
    <t>Sum of Mutual_Funds</t>
  </si>
  <si>
    <t>Sum of Fixed_Deposits</t>
  </si>
  <si>
    <t>Sum of Gold</t>
  </si>
  <si>
    <t>Low Risk investir</t>
  </si>
  <si>
    <t>Low Risk Investors</t>
  </si>
  <si>
    <t>Count of Avenue</t>
  </si>
  <si>
    <t>Duration of Inv</t>
  </si>
  <si>
    <t>AVG Return Value</t>
  </si>
  <si>
    <t>Expected Retuns</t>
  </si>
  <si>
    <t>20-30</t>
  </si>
  <si>
    <t>30-40</t>
  </si>
  <si>
    <t>Frequency of Checking</t>
  </si>
  <si>
    <t>Mutual Funds</t>
  </si>
  <si>
    <t>AVG Return Value..</t>
  </si>
  <si>
    <t>High RISK</t>
  </si>
  <si>
    <t>Low Risk</t>
  </si>
  <si>
    <t>Risk Study</t>
  </si>
  <si>
    <t>Risk Level</t>
  </si>
  <si>
    <t>Hight risk</t>
  </si>
  <si>
    <t>Gender</t>
  </si>
  <si>
    <t>Risk Segment</t>
  </si>
  <si>
    <t>Risk Levels</t>
  </si>
  <si>
    <t>Investor Persona</t>
  </si>
  <si>
    <t>Conservative</t>
  </si>
  <si>
    <t>Young Aggressive</t>
  </si>
  <si>
    <t xml:space="preserve">Investor </t>
  </si>
  <si>
    <t>Personality</t>
  </si>
  <si>
    <t>Auto Ditect</t>
  </si>
  <si>
    <t>FD/Bonds/PPF</t>
  </si>
  <si>
    <t>Equity/Mutual Funds</t>
  </si>
  <si>
    <t>High risk</t>
  </si>
  <si>
    <t>Risk Detection</t>
  </si>
  <si>
    <t>Investment Options</t>
  </si>
  <si>
    <t>Investment Analysis</t>
  </si>
  <si>
    <t>Strategic Investment Insights</t>
  </si>
  <si>
    <t>(blank)</t>
  </si>
  <si>
    <t xml:space="preserve">Insights </t>
  </si>
  <si>
    <t>The dataset contains a diverse group of investors with varying preferences.</t>
  </si>
  <si>
    <t>A majority of investors actively monitor their investments.</t>
  </si>
  <si>
    <t>Mutual Funds and Equity are among the most preferred investment avenues.</t>
  </si>
  <si>
    <t>Gold and Fixed Deposits are chosen as safer investment options.</t>
  </si>
  <si>
    <r>
      <t xml:space="preserve">Male investors show higher inclination towards </t>
    </r>
    <r>
      <rPr>
        <b/>
        <sz val="11"/>
        <color theme="1"/>
        <rFont val="Calibri"/>
        <family val="2"/>
        <scheme val="minor"/>
      </rPr>
      <t>Equity and Mutual Funds</t>
    </r>
    <r>
      <rPr>
        <sz val="11"/>
        <color theme="1"/>
        <rFont val="Calibri"/>
        <family val="2"/>
        <scheme val="minor"/>
      </rPr>
      <t>.</t>
    </r>
  </si>
  <si>
    <r>
      <t xml:space="preserve">Female investors prefer relatively </t>
    </r>
    <r>
      <rPr>
        <b/>
        <sz val="11"/>
        <color theme="1"/>
        <rFont val="Calibri"/>
        <family val="2"/>
        <scheme val="minor"/>
      </rPr>
      <t>safer options like FD and Gold</t>
    </r>
    <r>
      <rPr>
        <sz val="11"/>
        <color theme="1"/>
        <rFont val="Calibri"/>
        <family val="2"/>
        <scheme val="minor"/>
      </rPr>
      <t>.</t>
    </r>
  </si>
  <si>
    <t>Overall participation is balanced across genders.</t>
  </si>
  <si>
    <r>
      <t xml:space="preserve">Younger investors (&lt;30) prefer </t>
    </r>
    <r>
      <rPr>
        <b/>
        <sz val="11"/>
        <color theme="1"/>
        <rFont val="Calibri"/>
        <family val="2"/>
        <scheme val="minor"/>
      </rPr>
      <t>high-risk investments like Equity</t>
    </r>
    <r>
      <rPr>
        <sz val="11"/>
        <color theme="1"/>
        <rFont val="Calibri"/>
        <family val="2"/>
        <scheme val="minor"/>
      </rPr>
      <t>.</t>
    </r>
  </si>
  <si>
    <r>
      <t xml:space="preserve">Middle-aged investors (30–40) prefer </t>
    </r>
    <r>
      <rPr>
        <b/>
        <sz val="11"/>
        <color theme="1"/>
        <rFont val="Calibri"/>
        <family val="2"/>
        <scheme val="minor"/>
      </rPr>
      <t>Mutual Funds (balanced approach)</t>
    </r>
    <r>
      <rPr>
        <sz val="11"/>
        <color theme="1"/>
        <rFont val="Calibri"/>
        <family val="2"/>
        <scheme val="minor"/>
      </rPr>
      <t>.</t>
    </r>
  </si>
  <si>
    <r>
      <t xml:space="preserve">Older investors prefer </t>
    </r>
    <r>
      <rPr>
        <b/>
        <sz val="11"/>
        <color theme="1"/>
        <rFont val="Calibri"/>
        <family val="2"/>
        <scheme val="minor"/>
      </rPr>
      <t>low-risk options like FD, Bonds, and PPF</t>
    </r>
    <r>
      <rPr>
        <sz val="11"/>
        <color theme="1"/>
        <rFont val="Calibri"/>
        <family val="2"/>
        <scheme val="minor"/>
      </rPr>
      <t>.</t>
    </r>
  </si>
  <si>
    <r>
      <t xml:space="preserve">Equity provides the </t>
    </r>
    <r>
      <rPr>
        <b/>
        <sz val="11"/>
        <color theme="1"/>
        <rFont val="Calibri"/>
        <family val="2"/>
        <scheme val="minor"/>
      </rPr>
      <t>highest expected returns</t>
    </r>
    <r>
      <rPr>
        <sz val="11"/>
        <color theme="1"/>
        <rFont val="Calibri"/>
        <family val="2"/>
        <scheme val="minor"/>
      </rPr>
      <t xml:space="preserve"> among all avenues.</t>
    </r>
  </si>
  <si>
    <r>
      <t xml:space="preserve">Fixed Deposits and Bonds provide </t>
    </r>
    <r>
      <rPr>
        <b/>
        <sz val="11"/>
        <color theme="1"/>
        <rFont val="Calibri"/>
        <family val="2"/>
        <scheme val="minor"/>
      </rPr>
      <t>stable but lower returns</t>
    </r>
    <r>
      <rPr>
        <sz val="11"/>
        <color theme="1"/>
        <rFont val="Calibri"/>
        <family val="2"/>
        <scheme val="minor"/>
      </rPr>
      <t>.</t>
    </r>
  </si>
  <si>
    <t>Investors diversify their portfolio across multiple options.</t>
  </si>
  <si>
    <r>
      <t xml:space="preserve">Investors with </t>
    </r>
    <r>
      <rPr>
        <b/>
        <sz val="11"/>
        <color theme="1"/>
        <rFont val="Calibri"/>
        <family val="2"/>
        <scheme val="minor"/>
      </rPr>
      <t>wealth creation goals</t>
    </r>
    <r>
      <rPr>
        <sz val="11"/>
        <color theme="1"/>
        <rFont val="Calibri"/>
        <family val="2"/>
        <scheme val="minor"/>
      </rPr>
      <t xml:space="preserve"> prefer Equity and Mutual Funds.</t>
    </r>
  </si>
  <si>
    <r>
      <t xml:space="preserve">Investors focused on </t>
    </r>
    <r>
      <rPr>
        <b/>
        <sz val="11"/>
        <color theme="1"/>
        <rFont val="Calibri"/>
        <family val="2"/>
        <scheme val="minor"/>
      </rPr>
      <t>safety</t>
    </r>
    <r>
      <rPr>
        <sz val="11"/>
        <color theme="1"/>
        <rFont val="Calibri"/>
        <family val="2"/>
        <scheme val="minor"/>
      </rPr>
      <t xml:space="preserve"> prefer FD, PPF, and Bonds.</t>
    </r>
  </si>
  <si>
    <t>There is a clear alignment between objectives and investment choices.</t>
  </si>
  <si>
    <r>
      <t xml:space="preserve">Most investors fall under </t>
    </r>
    <r>
      <rPr>
        <b/>
        <sz val="11"/>
        <color theme="1"/>
        <rFont val="Calibri"/>
        <family val="2"/>
        <scheme val="minor"/>
      </rPr>
      <t>high-risk category</t>
    </r>
    <r>
      <rPr>
        <sz val="11"/>
        <color theme="1"/>
        <rFont val="Calibri"/>
        <family val="2"/>
        <scheme val="minor"/>
      </rPr>
      <t xml:space="preserve"> due to higher allocation in Equity/Mutual Funds.</t>
    </r>
  </si>
  <si>
    <r>
      <t xml:space="preserve">A segment of investors still prefers </t>
    </r>
    <r>
      <rPr>
        <b/>
        <sz val="11"/>
        <color theme="1"/>
        <rFont val="Calibri"/>
        <family val="2"/>
        <scheme val="minor"/>
      </rPr>
      <t>low-risk instruments for stability</t>
    </r>
    <r>
      <rPr>
        <sz val="11"/>
        <color theme="1"/>
        <rFont val="Calibri"/>
        <family val="2"/>
        <scheme val="minor"/>
      </rPr>
      <t>.</t>
    </r>
  </si>
  <si>
    <r>
      <t xml:space="preserve">Short-term investors prefer </t>
    </r>
    <r>
      <rPr>
        <b/>
        <sz val="11"/>
        <color theme="1"/>
        <rFont val="Calibri"/>
        <family val="2"/>
        <scheme val="minor"/>
      </rPr>
      <t>FD and Gold</t>
    </r>
    <r>
      <rPr>
        <sz val="11"/>
        <color theme="1"/>
        <rFont val="Calibri"/>
        <family val="2"/>
        <scheme val="minor"/>
      </rPr>
      <t>.</t>
    </r>
  </si>
  <si>
    <r>
      <t xml:space="preserve">Long-term investors prefer </t>
    </r>
    <r>
      <rPr>
        <b/>
        <sz val="11"/>
        <color theme="1"/>
        <rFont val="Calibri"/>
        <family val="2"/>
        <scheme val="minor"/>
      </rPr>
      <t>Equity and Mutual Funds</t>
    </r>
    <r>
      <rPr>
        <sz val="11"/>
        <color theme="1"/>
        <rFont val="Calibri"/>
        <family val="2"/>
        <scheme val="minor"/>
      </rPr>
      <t>.</t>
    </r>
  </si>
  <si>
    <r>
      <t xml:space="preserve">Returns and safety are the </t>
    </r>
    <r>
      <rPr>
        <b/>
        <sz val="11"/>
        <color theme="1"/>
        <rFont val="Calibri"/>
        <family val="2"/>
        <scheme val="minor"/>
      </rPr>
      <t>major factors influencing investment decisions</t>
    </r>
    <r>
      <rPr>
        <sz val="11"/>
        <color theme="1"/>
        <rFont val="Calibri"/>
        <family val="2"/>
        <scheme val="minor"/>
      </rPr>
      <t>.</t>
    </r>
  </si>
  <si>
    <r>
      <t xml:space="preserve">Investors consider both </t>
    </r>
    <r>
      <rPr>
        <b/>
        <sz val="11"/>
        <color theme="1"/>
        <rFont val="Calibri"/>
        <family val="2"/>
        <scheme val="minor"/>
      </rPr>
      <t>risk and return before investing</t>
    </r>
    <r>
      <rPr>
        <sz val="11"/>
        <color theme="1"/>
        <rFont val="Calibri"/>
        <family val="2"/>
        <scheme val="minor"/>
      </rPr>
      <t>.</t>
    </r>
  </si>
  <si>
    <r>
      <t xml:space="preserve">High-risk investors are best suited for </t>
    </r>
    <r>
      <rPr>
        <b/>
        <sz val="11"/>
        <color theme="1"/>
        <rFont val="Calibri"/>
        <family val="2"/>
        <scheme val="minor"/>
      </rPr>
      <t>Equity and Mutual Funds</t>
    </r>
    <r>
      <rPr>
        <sz val="11"/>
        <color theme="1"/>
        <rFont val="Calibri"/>
        <family val="2"/>
        <scheme val="minor"/>
      </rPr>
      <t>.</t>
    </r>
  </si>
  <si>
    <r>
      <t xml:space="preserve">Low-risk investors should prefer </t>
    </r>
    <r>
      <rPr>
        <b/>
        <sz val="11"/>
        <color theme="1"/>
        <rFont val="Calibri"/>
        <family val="2"/>
        <scheme val="minor"/>
      </rPr>
      <t>FD, Bonds, and PPF</t>
    </r>
    <r>
      <rPr>
        <sz val="11"/>
        <color theme="1"/>
        <rFont val="Calibri"/>
        <family val="2"/>
        <scheme val="minor"/>
      </rPr>
      <t>.</t>
    </r>
  </si>
  <si>
    <r>
      <t xml:space="preserve">Investors show a mix of </t>
    </r>
    <r>
      <rPr>
        <b/>
        <sz val="11"/>
        <color theme="1"/>
        <rFont val="Calibri"/>
        <family val="2"/>
        <scheme val="minor"/>
      </rPr>
      <t>risk-taking and safety preferences</t>
    </r>
    <r>
      <rPr>
        <sz val="11"/>
        <color theme="1"/>
        <rFont val="Calibri"/>
        <family val="2"/>
        <scheme val="minor"/>
      </rPr>
      <t>.</t>
    </r>
  </si>
  <si>
    <t>Equity and Mutual Funds dominate for growth, while FD and Bonds ensure stability.</t>
  </si>
  <si>
    <t>Age, objective, and risk appetite strongly influence investment decisions.</t>
  </si>
  <si>
    <t>Basic Insights</t>
  </si>
  <si>
    <t>Gender-Based Insights</t>
  </si>
  <si>
    <t>Age-Based Insights</t>
  </si>
  <si>
    <t>Investment Preference Insights</t>
  </si>
  <si>
    <t>Objective vs Investment Insights</t>
  </si>
  <si>
    <t>Risk Analysis Insights</t>
  </si>
  <si>
    <t>Duration Insights</t>
  </si>
  <si>
    <t>Behavioural Insights</t>
  </si>
  <si>
    <t>Recommendation Insight</t>
  </si>
  <si>
    <t>Summary:</t>
  </si>
  <si>
    <t>AVG Age</t>
  </si>
  <si>
    <t>learn coac x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</si>
</sst>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4"/>
      <color theme="1"/>
      <name val="Calibri"/>
      <family val="2"/>
      <scheme val="minor"/>
    </font>
    <font>
      <b/>
      <sz val="24"/>
      <color theme="0"/>
      <name val="Calibri"/>
      <family val="2"/>
      <scheme val="minor"/>
    </font>
    <font>
      <b/>
      <sz val="24"/>
      <color theme="1"/>
      <name val="Calibri"/>
      <family val="2"/>
      <scheme val="minor"/>
    </font>
    <font>
      <b/>
      <sz val="24"/>
      <color theme="1" tint="4.9989318521683403E-2"/>
      <name val="Calibri"/>
      <family val="2"/>
      <scheme val="minor"/>
    </font>
    <font>
      <b/>
      <sz val="26"/>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9933"/>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0" fontId="16" fillId="0" borderId="0" xfId="0" applyFont="1"/>
    <xf numFmtId="0" fontId="0" fillId="0" borderId="0" xfId="0" applyAlignment="1">
      <alignment horizontal="left"/>
    </xf>
    <xf numFmtId="9" fontId="0" fillId="0" borderId="0" xfId="42" applyFont="1"/>
    <xf numFmtId="0" fontId="0" fillId="0" borderId="0" xfId="0" applyAlignment="1">
      <alignment horizontal="center"/>
    </xf>
    <xf numFmtId="0" fontId="19" fillId="0" borderId="0" xfId="0" applyFont="1" applyAlignment="1">
      <alignment horizontal="center"/>
    </xf>
    <xf numFmtId="0" fontId="0" fillId="33" borderId="0" xfId="0" applyFill="1"/>
    <xf numFmtId="0" fontId="17" fillId="33" borderId="0" xfId="0" applyFont="1" applyFill="1"/>
    <xf numFmtId="0" fontId="13" fillId="33" borderId="10" xfId="0" applyFont="1" applyFill="1" applyBorder="1"/>
    <xf numFmtId="0" fontId="16" fillId="33" borderId="10" xfId="0" applyFont="1" applyFill="1" applyBorder="1"/>
    <xf numFmtId="0" fontId="0" fillId="34" borderId="0" xfId="0" applyFill="1" applyAlignment="1">
      <alignment horizontal="left"/>
    </xf>
    <xf numFmtId="0" fontId="0" fillId="34" borderId="0" xfId="0" applyFill="1"/>
    <xf numFmtId="0" fontId="13" fillId="33" borderId="0" xfId="0" applyFont="1" applyFill="1"/>
    <xf numFmtId="0" fontId="20" fillId="36" borderId="0" xfId="0" applyFont="1" applyFill="1" applyAlignment="1">
      <alignment horizontal="center"/>
    </xf>
    <xf numFmtId="0" fontId="18" fillId="36" borderId="0" xfId="0" applyFont="1" applyFill="1" applyAlignment="1">
      <alignment horizontal="center"/>
    </xf>
    <xf numFmtId="0" fontId="0" fillId="36" borderId="0" xfId="0" applyFill="1"/>
    <xf numFmtId="1" fontId="0" fillId="0" borderId="0" xfId="0" applyNumberFormat="1"/>
    <xf numFmtId="9" fontId="16" fillId="33" borderId="10" xfId="42" applyFont="1" applyFill="1" applyBorder="1"/>
    <xf numFmtId="0" fontId="0" fillId="37" borderId="0" xfId="0" applyFill="1"/>
    <xf numFmtId="0" fontId="0" fillId="38" borderId="0" xfId="0" applyFill="1" applyAlignment="1">
      <alignment horizontal="left"/>
    </xf>
    <xf numFmtId="0" fontId="0" fillId="38" borderId="0" xfId="0" applyFill="1"/>
    <xf numFmtId="0" fontId="0" fillId="39" borderId="0" xfId="0" applyFill="1"/>
    <xf numFmtId="0" fontId="0" fillId="40" borderId="0" xfId="0" applyFill="1"/>
    <xf numFmtId="0" fontId="0" fillId="41" borderId="0" xfId="0" applyFill="1"/>
    <xf numFmtId="0" fontId="22" fillId="36" borderId="0" xfId="0" applyFont="1" applyFill="1" applyAlignment="1">
      <alignment horizontal="center"/>
    </xf>
    <xf numFmtId="0" fontId="0" fillId="36" borderId="0" xfId="0" applyFill="1" applyAlignment="1">
      <alignment horizontal="center"/>
    </xf>
    <xf numFmtId="0" fontId="0" fillId="37" borderId="0" xfId="0" pivotButton="1" applyFill="1"/>
    <xf numFmtId="0" fontId="0" fillId="41" borderId="0" xfId="0" applyFill="1" applyAlignment="1">
      <alignment horizontal="center"/>
    </xf>
    <xf numFmtId="0" fontId="21" fillId="41" borderId="0" xfId="0" applyFont="1" applyFill="1" applyAlignment="1">
      <alignment vertical="center"/>
    </xf>
    <xf numFmtId="0" fontId="0" fillId="41" borderId="0" xfId="0" applyFill="1" applyAlignment="1">
      <alignment horizontal="left" vertical="center" indent="1"/>
    </xf>
    <xf numFmtId="0" fontId="23" fillId="37" borderId="0" xfId="0" applyFont="1" applyFill="1" applyAlignment="1">
      <alignment horizontal="center"/>
    </xf>
    <xf numFmtId="0" fontId="0" fillId="37" borderId="0" xfId="0" applyFill="1" applyAlignment="1">
      <alignment horizontal="center"/>
    </xf>
    <xf numFmtId="0" fontId="20" fillId="35" borderId="0" xfId="0" applyFont="1" applyFill="1" applyAlignment="1">
      <alignment horizontal="center"/>
    </xf>
    <xf numFmtId="0" fontId="18" fillId="35" borderId="0" xfId="0" applyFont="1" applyFill="1" applyAlignment="1">
      <alignment horizontal="center"/>
    </xf>
    <xf numFmtId="0" fontId="22" fillId="34" borderId="0" xfId="0" applyFont="1" applyFill="1" applyAlignment="1">
      <alignment horizontal="center"/>
    </xf>
    <xf numFmtId="0" fontId="20" fillId="42" borderId="0" xfId="0" applyFont="1" applyFill="1" applyAlignment="1">
      <alignment horizontal="center"/>
    </xf>
    <xf numFmtId="0" fontId="0" fillId="42" borderId="0" xfId="0" applyFill="1" applyAlignment="1">
      <alignment horizontal="center"/>
    </xf>
    <xf numFmtId="0" fontId="0" fillId="0" borderId="0" xfId="0" applyNumberFormat="1"/>
    <xf numFmtId="0" fontId="0" fillId="39" borderId="0" xfId="0" applyNumberFormat="1" applyFill="1" applyAlignment="1"/>
    <xf numFmtId="0" fontId="0" fillId="39" borderId="0" xfId="0" applyFill="1" applyAlignment="1"/>
    <xf numFmtId="0" fontId="0" fillId="41" borderId="0" xfId="0" applyNumberFormat="1" applyFill="1" applyAlignment="1"/>
    <xf numFmtId="0" fontId="0" fillId="41" borderId="0" xfId="0" applyFill="1" applyAlignment="1"/>
    <xf numFmtId="0" fontId="0" fillId="38" borderId="0" xfId="0" applyNumberForma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43">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numFmt numFmtId="0" formatCode="General"/>
      <fill>
        <patternFill patternType="solid">
          <fgColor indexed="64"/>
          <bgColor theme="7" tint="-0.249977111117893"/>
        </patternFill>
      </fill>
      <alignment horizontal="left"/>
    </dxf>
    <dxf>
      <fill>
        <patternFill patternType="solid">
          <fgColor indexed="64"/>
          <bgColor theme="7" tint="-0.249977111117893"/>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7" tint="0.79998168889431442"/>
        </patternFill>
      </fill>
      <alignment horizontal="general" vertical="bottom" textRotation="0" wrapText="0" indent="0" justifyLastLine="0" shrinkToFit="0" readingOrder="0"/>
    </dxf>
    <dxf>
      <fill>
        <patternFill patternType="solid">
          <fgColor indexed="64"/>
          <bgColor theme="7" tint="0.79998168889431442"/>
        </patternFill>
      </fill>
      <alignment horizontal="general" vertical="bottom" textRotation="0" wrapText="0" indent="0" justifyLastLine="0" shrinkToFit="0" readingOrder="0"/>
    </dxf>
    <dxf>
      <fill>
        <patternFill>
          <bgColor theme="7" tint="0.59999389629810485"/>
        </patternFill>
      </fill>
    </dxf>
    <dxf>
      <fill>
        <patternFill>
          <bgColor theme="7" tint="0.59999389629810485"/>
        </patternFill>
      </fill>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alignment horizontal="general" vertical="bottom" textRotation="0" wrapText="0" indent="0" justifyLastLine="0" shrinkToFit="0" readingOrder="0"/>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7" tint="-0.249977111117893"/>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249977111117893"/>
        </patternFill>
      </fill>
    </dxf>
    <dxf>
      <fill>
        <patternFill patternType="solid">
          <fgColor indexed="64"/>
          <bgColor theme="7" tint="-0.249977111117893"/>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color theme="0"/>
      </font>
    </dxf>
    <dxf>
      <fill>
        <patternFill>
          <bgColor rgb="FFFF9933"/>
        </patternFill>
      </fill>
    </dxf>
    <dxf>
      <fill>
        <patternFill>
          <bgColor rgb="FFFF9933"/>
        </patternFill>
      </fill>
    </dxf>
    <dxf>
      <fill>
        <patternFill patternType="solid">
          <bgColor rgb="FFFF6600"/>
        </patternFill>
      </fill>
    </dxf>
    <dxf>
      <fill>
        <patternFill patternType="solid">
          <bgColor rgb="FFFF6600"/>
        </patternFill>
      </fill>
    </dxf>
    <dxf>
      <font>
        <color theme="1"/>
      </font>
    </dxf>
    <dxf>
      <font>
        <color theme="1"/>
      </font>
    </dxf>
    <dxf>
      <font>
        <color theme="1"/>
      </font>
    </dxf>
    <dxf>
      <font>
        <color theme="1"/>
      </font>
    </dxf>
    <dxf>
      <font>
        <color theme="1"/>
      </font>
    </dxf>
    <dxf>
      <font>
        <color theme="0"/>
      </font>
      <fill>
        <patternFill patternType="solid">
          <fgColor indexed="64"/>
          <bgColor rgb="FFFF9933"/>
        </patternFill>
      </fill>
    </dxf>
    <dxf>
      <font>
        <color theme="0"/>
      </font>
      <fill>
        <patternFill patternType="solid">
          <fgColor indexed="64"/>
          <bgColor rgb="FFFF9933"/>
        </patternFill>
      </fill>
    </dxf>
    <dxf>
      <font>
        <color theme="0"/>
      </font>
      <fill>
        <patternFill patternType="solid">
          <fgColor indexed="64"/>
          <bgColor rgb="FFFF9933"/>
        </patternFill>
      </fill>
    </dxf>
    <dxf>
      <font>
        <color theme="0"/>
      </font>
      <fill>
        <patternFill patternType="solid">
          <fgColor indexed="64"/>
          <bgColor rgb="FFFF9933"/>
        </patternFill>
      </fill>
    </dxf>
    <dxf>
      <font>
        <color theme="0"/>
      </font>
      <fill>
        <patternFill patternType="solid">
          <fgColor indexed="64"/>
          <bgColor rgb="FFFF9933"/>
        </patternFill>
      </fill>
    </dxf>
    <dxf>
      <font>
        <color theme="0"/>
      </font>
      <fill>
        <patternFill patternType="solid">
          <fgColor indexed="64"/>
          <bgColor rgb="FFFF9933"/>
        </patternFill>
      </fill>
    </dxf>
    <dxf>
      <font>
        <b/>
      </font>
    </dxf>
    <dxf>
      <font>
        <b/>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fill>
        <patternFill patternType="solid">
          <fgColor indexed="64"/>
          <bgColor rgb="FFFF9933"/>
        </patternFill>
      </fill>
      <alignment horizontal="general" vertical="bottom" textRotation="0" wrapText="0" indent="0" justifyLastLine="0" shrinkToFit="0" readingOrder="0"/>
    </dxf>
    <dxf>
      <font>
        <color theme="0"/>
      </font>
      <fill>
        <patternFill patternType="solid">
          <fgColor indexed="64"/>
          <bgColor rgb="FFFF9933"/>
        </patternFill>
      </fill>
      <alignment horizontal="general" vertical="bottom" textRotation="0" wrapText="0" indent="0" justifyLastLine="0" shrinkToFit="0" readingOrder="0"/>
    </dxf>
    <dxf>
      <font>
        <color theme="0"/>
      </font>
      <fill>
        <patternFill patternType="solid">
          <fgColor indexed="64"/>
          <bgColor rgb="FFFF9933"/>
        </patternFill>
      </fill>
      <alignment horizontal="general" vertical="bottom" textRotation="0" wrapText="0" indent="0" justifyLastLine="0" shrinkToFit="0" readingOrder="0"/>
    </dxf>
    <dxf>
      <font>
        <color theme="0"/>
      </font>
      <fill>
        <patternFill patternType="solid">
          <fgColor indexed="64"/>
          <bgColor rgb="FFFF9933"/>
        </patternFill>
      </fill>
      <alignment horizontal="general" vertical="bottom" textRotation="0" wrapText="0" indent="0" justifyLastLine="0" shrinkToFit="0" readingOrder="0"/>
    </dxf>
    <dxf>
      <font>
        <color theme="0"/>
      </font>
      <fill>
        <patternFill patternType="solid">
          <fgColor indexed="64"/>
          <bgColor rgb="FFFF9933"/>
        </patternFill>
      </fill>
      <alignment horizontal="general" vertical="bottom" textRotation="0" wrapText="0" indent="0" justifyLastLine="0" shrinkToFit="0" readingOrder="0"/>
    </dxf>
    <dxf>
      <font>
        <color theme="0"/>
      </font>
      <fill>
        <patternFill patternType="solid">
          <fgColor indexed="64"/>
          <bgColor rgb="FFFF9933"/>
        </patternFill>
      </fill>
      <alignment horizontal="general" vertical="bottom" textRotation="0" wrapText="0" indent="0" justifyLastLine="0" shrinkToFit="0" readingOrder="0"/>
    </dxf>
    <dxf>
      <font>
        <color theme="0"/>
      </font>
      <fill>
        <patternFill patternType="solid">
          <fgColor indexed="64"/>
          <bgColor rgb="FFFF9933"/>
        </patternFill>
      </fill>
    </dxf>
    <dxf>
      <fill>
        <patternFill patternType="solid">
          <fgColor indexed="64"/>
          <bgColor rgb="FFFF9933"/>
        </patternFill>
      </fill>
    </dxf>
    <dxf>
      <font>
        <color theme="0"/>
      </font>
      <fill>
        <patternFill patternType="solid">
          <fgColor indexed="64"/>
          <bgColor rgb="FFFF9933"/>
        </patternFill>
      </fill>
    </dxf>
  </dxfs>
  <tableStyles count="0" defaultTableStyle="TableStyleMedium2" defaultPivotStyle="PivotStyleLight16"/>
  <colors>
    <mruColors>
      <color rgb="FFFF9933"/>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Gold VS Equity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030097956704039E-2"/>
          <c:y val="0.23884256786800706"/>
          <c:w val="0.90849835003411661"/>
          <c:h val="0.76115743213199283"/>
        </c:manualLayout>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DED-48CB-9474-255B0A0B04A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DED-48CB-9474-255B0A0B04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Basic!$D$15:$D$16</c:f>
              <c:strCache>
                <c:ptCount val="2"/>
                <c:pt idx="0">
                  <c:v>Gold</c:v>
                </c:pt>
                <c:pt idx="1">
                  <c:v>Equity</c:v>
                </c:pt>
              </c:strCache>
            </c:strRef>
          </c:cat>
          <c:val>
            <c:numRef>
              <c:f>Basic!$E$15:$E$16</c:f>
              <c:numCache>
                <c:formatCode>General</c:formatCode>
                <c:ptCount val="2"/>
                <c:pt idx="0">
                  <c:v>239</c:v>
                </c:pt>
                <c:pt idx="1">
                  <c:v>139</c:v>
                </c:pt>
              </c:numCache>
            </c:numRef>
          </c:val>
          <c:extLst>
            <c:ext xmlns:c16="http://schemas.microsoft.com/office/drawing/2014/chart" uri="{C3380CC4-5D6E-409C-BE32-E72D297353CC}">
              <c16:uniqueId val="{00000000-AAF3-4B42-BF0F-46626F9E59F1}"/>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[Finance_data.hw.xlsx]Basic!PivotTable4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2">
                    <a:lumMod val="50000"/>
                  </a:schemeClr>
                </a:solidFill>
              </a:rPr>
              <a:t>TOP 3 Saving</a:t>
            </a:r>
            <a:r>
              <a:rPr lang="en-US" sz="1200" b="1" baseline="0">
                <a:solidFill>
                  <a:schemeClr val="accent2">
                    <a:lumMod val="50000"/>
                  </a:schemeClr>
                </a:solidFill>
              </a:rPr>
              <a:t> </a:t>
            </a:r>
            <a:r>
              <a:rPr lang="en-US" sz="1200" b="1">
                <a:solidFill>
                  <a:schemeClr val="accent2">
                    <a:lumMod val="50000"/>
                  </a:schemeClr>
                </a:solidFill>
              </a:rPr>
              <a:t>Objectives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Basic!$B$3</c:f>
              <c:strCache>
                <c:ptCount val="1"/>
                <c:pt idx="0">
                  <c:v>Total</c:v>
                </c:pt>
              </c:strCache>
            </c:strRef>
          </c:tx>
          <c:spPr>
            <a:solidFill>
              <a:schemeClr val="accent2">
                <a:lumMod val="75000"/>
              </a:schemeClr>
            </a:solidFill>
            <a:ln>
              <a:solidFill>
                <a:schemeClr val="accent2">
                  <a:lumMod val="50000"/>
                </a:schemeClr>
              </a:solidFill>
            </a:ln>
            <a:effectLst/>
          </c:spPr>
          <c:invertIfNegative val="0"/>
          <c:cat>
            <c:strRef>
              <c:f>Basic!$A$4:$A$7</c:f>
              <c:strCache>
                <c:ptCount val="3"/>
                <c:pt idx="0">
                  <c:v>Education</c:v>
                </c:pt>
                <c:pt idx="1">
                  <c:v>Health Care</c:v>
                </c:pt>
                <c:pt idx="2">
                  <c:v>Retirement Plan</c:v>
                </c:pt>
              </c:strCache>
            </c:strRef>
          </c:cat>
          <c:val>
            <c:numRef>
              <c:f>Basic!$B$4:$B$7</c:f>
              <c:numCache>
                <c:formatCode>General</c:formatCode>
                <c:ptCount val="3"/>
                <c:pt idx="0">
                  <c:v>3</c:v>
                </c:pt>
                <c:pt idx="1">
                  <c:v>13</c:v>
                </c:pt>
                <c:pt idx="2">
                  <c:v>24</c:v>
                </c:pt>
              </c:numCache>
            </c:numRef>
          </c:val>
          <c:extLst>
            <c:ext xmlns:c16="http://schemas.microsoft.com/office/drawing/2014/chart" uri="{C3380CC4-5D6E-409C-BE32-E72D297353CC}">
              <c16:uniqueId val="{00000000-FA4F-4835-A382-D6C018AF99F7}"/>
            </c:ext>
          </c:extLst>
        </c:ser>
        <c:dLbls>
          <c:showLegendKey val="0"/>
          <c:showVal val="0"/>
          <c:showCatName val="0"/>
          <c:showSerName val="0"/>
          <c:showPercent val="0"/>
          <c:showBubbleSize val="0"/>
        </c:dLbls>
        <c:gapWidth val="219"/>
        <c:overlap val="-27"/>
        <c:axId val="368421711"/>
        <c:axId val="368422191"/>
      </c:barChart>
      <c:catAx>
        <c:axId val="3684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40" b="0" i="0" u="none" strike="noStrike" kern="1200" baseline="0">
                <a:solidFill>
                  <a:schemeClr val="tx1">
                    <a:lumMod val="65000"/>
                    <a:lumOff val="35000"/>
                  </a:schemeClr>
                </a:solidFill>
                <a:latin typeface="+mn-lt"/>
                <a:ea typeface="+mn-ea"/>
                <a:cs typeface="+mn-cs"/>
              </a:defRPr>
            </a:pPr>
            <a:endParaRPr lang="en-US"/>
          </a:p>
        </c:txPr>
        <c:crossAx val="368422191"/>
        <c:crosses val="autoZero"/>
        <c:auto val="1"/>
        <c:lblAlgn val="ctr"/>
        <c:lblOffset val="100"/>
        <c:noMultiLvlLbl val="0"/>
      </c:catAx>
      <c:valAx>
        <c:axId val="36842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[Finance_data.hw.xlsx]Investment!PivotTable2</c:name>
    <c:fmtId val="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Investment!$B$3</c:f>
              <c:strCache>
                <c:ptCount val="1"/>
                <c:pt idx="0">
                  <c:v>Sum of Mutual_Funds</c:v>
                </c:pt>
              </c:strCache>
            </c:strRef>
          </c:tx>
          <c:spPr>
            <a:solidFill>
              <a:schemeClr val="accent6"/>
            </a:solidFill>
            <a:ln>
              <a:noFill/>
            </a:ln>
            <a:effectLst/>
          </c:spPr>
          <c:invertIfNegative val="0"/>
          <c:cat>
            <c:strRef>
              <c:f>Investment!$A$4:$A$7</c:f>
              <c:strCache>
                <c:ptCount val="3"/>
                <c:pt idx="0">
                  <c:v>25-30</c:v>
                </c:pt>
                <c:pt idx="1">
                  <c:v>30-35</c:v>
                </c:pt>
                <c:pt idx="2">
                  <c:v>Above 40</c:v>
                </c:pt>
              </c:strCache>
            </c:strRef>
          </c:cat>
          <c:val>
            <c:numRef>
              <c:f>Investment!$B$4:$B$7</c:f>
              <c:numCache>
                <c:formatCode>General</c:formatCode>
                <c:ptCount val="3"/>
                <c:pt idx="0">
                  <c:v>29</c:v>
                </c:pt>
                <c:pt idx="1">
                  <c:v>53</c:v>
                </c:pt>
                <c:pt idx="2">
                  <c:v>20</c:v>
                </c:pt>
              </c:numCache>
            </c:numRef>
          </c:val>
          <c:extLst>
            <c:ext xmlns:c16="http://schemas.microsoft.com/office/drawing/2014/chart" uri="{C3380CC4-5D6E-409C-BE32-E72D297353CC}">
              <c16:uniqueId val="{00000000-9461-47ED-8885-3A1B5A10197A}"/>
            </c:ext>
          </c:extLst>
        </c:ser>
        <c:ser>
          <c:idx val="1"/>
          <c:order val="1"/>
          <c:tx>
            <c:strRef>
              <c:f>Investment!$C$3</c:f>
              <c:strCache>
                <c:ptCount val="1"/>
                <c:pt idx="0">
                  <c:v>Sum of Gold</c:v>
                </c:pt>
              </c:strCache>
            </c:strRef>
          </c:tx>
          <c:spPr>
            <a:solidFill>
              <a:schemeClr val="accent5"/>
            </a:solidFill>
            <a:ln>
              <a:noFill/>
            </a:ln>
            <a:effectLst/>
          </c:spPr>
          <c:invertIfNegative val="0"/>
          <c:cat>
            <c:strRef>
              <c:f>Investment!$A$4:$A$7</c:f>
              <c:strCache>
                <c:ptCount val="3"/>
                <c:pt idx="0">
                  <c:v>25-30</c:v>
                </c:pt>
                <c:pt idx="1">
                  <c:v>30-35</c:v>
                </c:pt>
                <c:pt idx="2">
                  <c:v>Above 40</c:v>
                </c:pt>
              </c:strCache>
            </c:strRef>
          </c:cat>
          <c:val>
            <c:numRef>
              <c:f>Investment!$C$4:$C$7</c:f>
              <c:numCache>
                <c:formatCode>General</c:formatCode>
                <c:ptCount val="3"/>
                <c:pt idx="0">
                  <c:v>56</c:v>
                </c:pt>
                <c:pt idx="1">
                  <c:v>133</c:v>
                </c:pt>
                <c:pt idx="2">
                  <c:v>50</c:v>
                </c:pt>
              </c:numCache>
            </c:numRef>
          </c:val>
          <c:extLst>
            <c:ext xmlns:c16="http://schemas.microsoft.com/office/drawing/2014/chart" uri="{C3380CC4-5D6E-409C-BE32-E72D297353CC}">
              <c16:uniqueId val="{00000001-9461-47ED-8885-3A1B5A10197A}"/>
            </c:ext>
          </c:extLst>
        </c:ser>
        <c:ser>
          <c:idx val="2"/>
          <c:order val="2"/>
          <c:tx>
            <c:strRef>
              <c:f>Investment!$D$3</c:f>
              <c:strCache>
                <c:ptCount val="1"/>
                <c:pt idx="0">
                  <c:v>Sum of Fixed_Deposits</c:v>
                </c:pt>
              </c:strCache>
            </c:strRef>
          </c:tx>
          <c:spPr>
            <a:solidFill>
              <a:schemeClr val="accent4"/>
            </a:solidFill>
            <a:ln>
              <a:noFill/>
            </a:ln>
            <a:effectLst/>
          </c:spPr>
          <c:invertIfNegative val="0"/>
          <c:cat>
            <c:strRef>
              <c:f>Investment!$A$4:$A$7</c:f>
              <c:strCache>
                <c:ptCount val="3"/>
                <c:pt idx="0">
                  <c:v>25-30</c:v>
                </c:pt>
                <c:pt idx="1">
                  <c:v>30-35</c:v>
                </c:pt>
                <c:pt idx="2">
                  <c:v>Above 40</c:v>
                </c:pt>
              </c:strCache>
            </c:strRef>
          </c:cat>
          <c:val>
            <c:numRef>
              <c:f>Investment!$D$4:$D$7</c:f>
              <c:numCache>
                <c:formatCode>General</c:formatCode>
                <c:ptCount val="3"/>
                <c:pt idx="0">
                  <c:v>40</c:v>
                </c:pt>
                <c:pt idx="1">
                  <c:v>67</c:v>
                </c:pt>
                <c:pt idx="2">
                  <c:v>36</c:v>
                </c:pt>
              </c:numCache>
            </c:numRef>
          </c:val>
          <c:extLst>
            <c:ext xmlns:c16="http://schemas.microsoft.com/office/drawing/2014/chart" uri="{C3380CC4-5D6E-409C-BE32-E72D297353CC}">
              <c16:uniqueId val="{00000002-9461-47ED-8885-3A1B5A10197A}"/>
            </c:ext>
          </c:extLst>
        </c:ser>
        <c:dLbls>
          <c:showLegendKey val="0"/>
          <c:showVal val="0"/>
          <c:showCatName val="0"/>
          <c:showSerName val="0"/>
          <c:showPercent val="0"/>
          <c:showBubbleSize val="0"/>
        </c:dLbls>
        <c:gapWidth val="219"/>
        <c:overlap val="-27"/>
        <c:axId val="368448591"/>
        <c:axId val="368443791"/>
      </c:barChart>
      <c:catAx>
        <c:axId val="3684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43791"/>
        <c:crosses val="autoZero"/>
        <c:auto val="1"/>
        <c:lblAlgn val="ctr"/>
        <c:lblOffset val="100"/>
        <c:noMultiLvlLbl val="0"/>
      </c:catAx>
      <c:valAx>
        <c:axId val="36844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4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baseline="0"/>
              <a:t>Equity VS Mutual Funds</a:t>
            </a:r>
          </a:p>
        </c:rich>
      </c:tx>
      <c:layout>
        <c:manualLayout>
          <c:xMode val="edge"/>
          <c:yMode val="edge"/>
          <c:x val="0.15114025736857342"/>
          <c:y val="5.203743397768383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IN"/>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48729204990642"/>
          <c:y val="0.20742697515428635"/>
          <c:w val="0.72991551514627551"/>
          <c:h val="0.7186266487332148"/>
        </c:manualLayout>
      </c:layout>
      <c:pie3D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860-4A7E-B5CF-B1D4EEE9758A}"/>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860-4A7E-B5CF-B1D4EEE9758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Investment!$K$19:$K$20</c:f>
              <c:strCache>
                <c:ptCount val="2"/>
                <c:pt idx="0">
                  <c:v>Equity</c:v>
                </c:pt>
                <c:pt idx="1">
                  <c:v>Mutual Funds</c:v>
                </c:pt>
              </c:strCache>
            </c:strRef>
          </c:cat>
          <c:val>
            <c:numRef>
              <c:f>Investment!$L$19:$L$20</c:f>
              <c:numCache>
                <c:formatCode>General</c:formatCode>
                <c:ptCount val="2"/>
                <c:pt idx="0">
                  <c:v>139</c:v>
                </c:pt>
                <c:pt idx="1">
                  <c:v>102</c:v>
                </c:pt>
              </c:numCache>
            </c:numRef>
          </c:val>
          <c:extLst>
            <c:ext xmlns:c16="http://schemas.microsoft.com/office/drawing/2014/chart" uri="{C3380CC4-5D6E-409C-BE32-E72D297353CC}">
              <c16:uniqueId val="{00000004-2860-4A7E-B5CF-B1D4EEE9758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580074365704291"/>
          <c:y val="0.84079797317002036"/>
          <c:w val="0.18419939514160058"/>
          <c:h val="0.159201934519610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[Finance_data.hw.xlsx]Strategic!PivotTable1</c:name>
    <c:fmtId val="4"/>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Strategic!$B$3:$B$4</c:f>
              <c:strCache>
                <c:ptCount val="1"/>
                <c:pt idx="0">
                  <c:v>Female</c:v>
                </c:pt>
              </c:strCache>
            </c:strRef>
          </c:tx>
          <c:spPr>
            <a:solidFill>
              <a:schemeClr val="accent2"/>
            </a:solidFill>
            <a:ln>
              <a:noFill/>
            </a:ln>
            <a:effectLst/>
            <a:sp3d/>
          </c:spPr>
          <c:invertIfNegative val="0"/>
          <c:cat>
            <c:strRef>
              <c:f>Strategic!$A$5:$A$9</c:f>
              <c:strCache>
                <c:ptCount val="4"/>
                <c:pt idx="0">
                  <c:v>Education</c:v>
                </c:pt>
                <c:pt idx="1">
                  <c:v>Health Care</c:v>
                </c:pt>
                <c:pt idx="2">
                  <c:v>Retirement Plan</c:v>
                </c:pt>
                <c:pt idx="3">
                  <c:v>(blank)</c:v>
                </c:pt>
              </c:strCache>
            </c:strRef>
          </c:cat>
          <c:val>
            <c:numRef>
              <c:f>Strategic!$B$5:$B$9</c:f>
              <c:numCache>
                <c:formatCode>General</c:formatCode>
                <c:ptCount val="4"/>
                <c:pt idx="0">
                  <c:v>21</c:v>
                </c:pt>
                <c:pt idx="1">
                  <c:v>100</c:v>
                </c:pt>
                <c:pt idx="2">
                  <c:v>295</c:v>
                </c:pt>
              </c:numCache>
            </c:numRef>
          </c:val>
          <c:extLst>
            <c:ext xmlns:c16="http://schemas.microsoft.com/office/drawing/2014/chart" uri="{C3380CC4-5D6E-409C-BE32-E72D297353CC}">
              <c16:uniqueId val="{00000000-ED2B-4E7A-9A72-DB223C354B18}"/>
            </c:ext>
          </c:extLst>
        </c:ser>
        <c:ser>
          <c:idx val="1"/>
          <c:order val="1"/>
          <c:tx>
            <c:strRef>
              <c:f>Strategic!$C$3:$C$4</c:f>
              <c:strCache>
                <c:ptCount val="1"/>
                <c:pt idx="0">
                  <c:v>Male</c:v>
                </c:pt>
              </c:strCache>
            </c:strRef>
          </c:tx>
          <c:spPr>
            <a:solidFill>
              <a:schemeClr val="accent4"/>
            </a:solidFill>
            <a:ln>
              <a:noFill/>
            </a:ln>
            <a:effectLst/>
            <a:sp3d/>
          </c:spPr>
          <c:invertIfNegative val="0"/>
          <c:cat>
            <c:strRef>
              <c:f>Strategic!$A$5:$A$9</c:f>
              <c:strCache>
                <c:ptCount val="4"/>
                <c:pt idx="0">
                  <c:v>Education</c:v>
                </c:pt>
                <c:pt idx="1">
                  <c:v>Health Care</c:v>
                </c:pt>
                <c:pt idx="2">
                  <c:v>Retirement Plan</c:v>
                </c:pt>
                <c:pt idx="3">
                  <c:v>(blank)</c:v>
                </c:pt>
              </c:strCache>
            </c:strRef>
          </c:cat>
          <c:val>
            <c:numRef>
              <c:f>Strategic!$C$5:$C$9</c:f>
              <c:numCache>
                <c:formatCode>General</c:formatCode>
                <c:ptCount val="4"/>
                <c:pt idx="0">
                  <c:v>53</c:v>
                </c:pt>
                <c:pt idx="1">
                  <c:v>249</c:v>
                </c:pt>
                <c:pt idx="2">
                  <c:v>394</c:v>
                </c:pt>
              </c:numCache>
            </c:numRef>
          </c:val>
          <c:extLst>
            <c:ext xmlns:c16="http://schemas.microsoft.com/office/drawing/2014/chart" uri="{C3380CC4-5D6E-409C-BE32-E72D297353CC}">
              <c16:uniqueId val="{00000003-3B80-4F9D-9224-ECB95AC9F9E7}"/>
            </c:ext>
          </c:extLst>
        </c:ser>
        <c:ser>
          <c:idx val="2"/>
          <c:order val="2"/>
          <c:tx>
            <c:strRef>
              <c:f>Strategic!$D$3:$D$4</c:f>
              <c:strCache>
                <c:ptCount val="1"/>
                <c:pt idx="0">
                  <c:v>(blank)</c:v>
                </c:pt>
              </c:strCache>
            </c:strRef>
          </c:tx>
          <c:spPr>
            <a:solidFill>
              <a:schemeClr val="accent6"/>
            </a:solidFill>
            <a:ln>
              <a:noFill/>
            </a:ln>
            <a:effectLst/>
            <a:sp3d/>
          </c:spPr>
          <c:invertIfNegative val="0"/>
          <c:cat>
            <c:strRef>
              <c:f>Strategic!$A$5:$A$9</c:f>
              <c:strCache>
                <c:ptCount val="4"/>
                <c:pt idx="0">
                  <c:v>Education</c:v>
                </c:pt>
                <c:pt idx="1">
                  <c:v>Health Care</c:v>
                </c:pt>
                <c:pt idx="2">
                  <c:v>Retirement Plan</c:v>
                </c:pt>
                <c:pt idx="3">
                  <c:v>(blank)</c:v>
                </c:pt>
              </c:strCache>
            </c:strRef>
          </c:cat>
          <c:val>
            <c:numRef>
              <c:f>Strategic!$D$5:$D$9</c:f>
              <c:numCache>
                <c:formatCode>General</c:formatCode>
                <c:ptCount val="4"/>
              </c:numCache>
            </c:numRef>
          </c:val>
          <c:extLst>
            <c:ext xmlns:c16="http://schemas.microsoft.com/office/drawing/2014/chart" uri="{C3380CC4-5D6E-409C-BE32-E72D297353CC}">
              <c16:uniqueId val="{00000004-3B80-4F9D-9224-ECB95AC9F9E7}"/>
            </c:ext>
          </c:extLst>
        </c:ser>
        <c:dLbls>
          <c:showLegendKey val="0"/>
          <c:showVal val="0"/>
          <c:showCatName val="0"/>
          <c:showSerName val="0"/>
          <c:showPercent val="0"/>
          <c:showBubbleSize val="0"/>
        </c:dLbls>
        <c:gapWidth val="150"/>
        <c:shape val="box"/>
        <c:axId val="174924768"/>
        <c:axId val="174931968"/>
        <c:axId val="0"/>
      </c:bar3DChart>
      <c:catAx>
        <c:axId val="17492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1968"/>
        <c:crosses val="autoZero"/>
        <c:auto val="1"/>
        <c:lblAlgn val="ctr"/>
        <c:lblOffset val="100"/>
        <c:noMultiLvlLbl val="0"/>
      </c:catAx>
      <c:valAx>
        <c:axId val="17493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[Finance_data.hw.xlsx]Strategic!PivotTable1</c:name>
    <c:fmtId val="9"/>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057615328948079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7967056587062414"/>
                  <c:h val="0.32807464627270749"/>
                </c:manualLayout>
              </c15:layout>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1585755484268169"/>
                  <c:h val="0.32807464627270749"/>
                </c:manualLayout>
              </c15:layout>
            </c:ext>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7407385805169413"/>
                  <c:h val="0.42915085887034193"/>
                </c:manualLayout>
              </c15:layout>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Strategic!$B$3:$B$4</c:f>
              <c:strCache>
                <c:ptCount val="1"/>
                <c:pt idx="0">
                  <c:v>Female</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16D-45F3-9B98-DEB9AE4A48B1}"/>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16D-45F3-9B98-DEB9AE4A48B1}"/>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16D-45F3-9B98-DEB9AE4A48B1}"/>
              </c:ext>
            </c:extLst>
          </c:dPt>
          <c:dLbls>
            <c:dLbl>
              <c:idx val="0"/>
              <c:layout>
                <c:manualLayout>
                  <c:x val="-0.20576153289480795"/>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7967056587062414"/>
                      <c:h val="0.32807464627270749"/>
                    </c:manualLayout>
                  </c15:layout>
                </c:ext>
                <c:ext xmlns:c16="http://schemas.microsoft.com/office/drawing/2014/chart" uri="{C3380CC4-5D6E-409C-BE32-E72D297353CC}">
                  <c16:uniqueId val="{00000004-216D-45F3-9B98-DEB9AE4A48B1}"/>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31585755484268169"/>
                      <c:h val="0.32807464627270749"/>
                    </c:manualLayout>
                  </c15:layout>
                </c:ext>
                <c:ext xmlns:c16="http://schemas.microsoft.com/office/drawing/2014/chart" uri="{C3380CC4-5D6E-409C-BE32-E72D297353CC}">
                  <c16:uniqueId val="{00000005-216D-45F3-9B98-DEB9AE4A48B1}"/>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37407385805169413"/>
                      <c:h val="0.42915085887034193"/>
                    </c:manualLayout>
                  </c15:layout>
                </c:ext>
                <c:ext xmlns:c16="http://schemas.microsoft.com/office/drawing/2014/chart" uri="{C3380CC4-5D6E-409C-BE32-E72D297353CC}">
                  <c16:uniqueId val="{00000006-216D-45F3-9B98-DEB9AE4A48B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Strategic!$A$5:$A$9</c:f>
              <c:strCache>
                <c:ptCount val="4"/>
                <c:pt idx="0">
                  <c:v>Education</c:v>
                </c:pt>
                <c:pt idx="1">
                  <c:v>Health Care</c:v>
                </c:pt>
                <c:pt idx="2">
                  <c:v>Retirement Plan</c:v>
                </c:pt>
                <c:pt idx="3">
                  <c:v>(blank)</c:v>
                </c:pt>
              </c:strCache>
            </c:strRef>
          </c:cat>
          <c:val>
            <c:numRef>
              <c:f>Strategic!$B$5:$B$9</c:f>
              <c:numCache>
                <c:formatCode>General</c:formatCode>
                <c:ptCount val="4"/>
                <c:pt idx="0">
                  <c:v>21</c:v>
                </c:pt>
                <c:pt idx="1">
                  <c:v>100</c:v>
                </c:pt>
                <c:pt idx="2">
                  <c:v>295</c:v>
                </c:pt>
              </c:numCache>
            </c:numRef>
          </c:val>
          <c:extLst>
            <c:ext xmlns:c16="http://schemas.microsoft.com/office/drawing/2014/chart" uri="{C3380CC4-5D6E-409C-BE32-E72D297353CC}">
              <c16:uniqueId val="{00000000-216D-45F3-9B98-DEB9AE4A48B1}"/>
            </c:ext>
          </c:extLst>
        </c:ser>
        <c:ser>
          <c:idx val="1"/>
          <c:order val="1"/>
          <c:tx>
            <c:strRef>
              <c:f>Strategic!$C$3:$C$4</c:f>
              <c:strCache>
                <c:ptCount val="1"/>
                <c:pt idx="0">
                  <c:v>Male</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Strategic!$A$5:$A$9</c:f>
              <c:strCache>
                <c:ptCount val="4"/>
                <c:pt idx="0">
                  <c:v>Education</c:v>
                </c:pt>
                <c:pt idx="1">
                  <c:v>Health Care</c:v>
                </c:pt>
                <c:pt idx="2">
                  <c:v>Retirement Plan</c:v>
                </c:pt>
                <c:pt idx="3">
                  <c:v>(blank)</c:v>
                </c:pt>
              </c:strCache>
            </c:strRef>
          </c:cat>
          <c:val>
            <c:numRef>
              <c:f>Strategic!$C$5:$C$9</c:f>
              <c:numCache>
                <c:formatCode>General</c:formatCode>
                <c:ptCount val="4"/>
                <c:pt idx="0">
                  <c:v>53</c:v>
                </c:pt>
                <c:pt idx="1">
                  <c:v>249</c:v>
                </c:pt>
                <c:pt idx="2">
                  <c:v>394</c:v>
                </c:pt>
              </c:numCache>
            </c:numRef>
          </c:val>
          <c:extLst>
            <c:ext xmlns:c16="http://schemas.microsoft.com/office/drawing/2014/chart" uri="{C3380CC4-5D6E-409C-BE32-E72D297353CC}">
              <c16:uniqueId val="{0000000F-546B-4DFC-A08E-B0B792B347DB}"/>
            </c:ext>
          </c:extLst>
        </c:ser>
        <c:ser>
          <c:idx val="2"/>
          <c:order val="2"/>
          <c:tx>
            <c:strRef>
              <c:f>Strategic!$D$3:$D$4</c:f>
              <c:strCache>
                <c:ptCount val="1"/>
                <c:pt idx="0">
                  <c:v>(blank)</c:v>
                </c:pt>
              </c:strCache>
            </c:strRef>
          </c:tx>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s>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Strategic!$A$5:$A$9</c:f>
              <c:strCache>
                <c:ptCount val="4"/>
                <c:pt idx="0">
                  <c:v>Education</c:v>
                </c:pt>
                <c:pt idx="1">
                  <c:v>Health Care</c:v>
                </c:pt>
                <c:pt idx="2">
                  <c:v>Retirement Plan</c:v>
                </c:pt>
                <c:pt idx="3">
                  <c:v>(blank)</c:v>
                </c:pt>
              </c:strCache>
            </c:strRef>
          </c:cat>
          <c:val>
            <c:numRef>
              <c:f>Strategic!$D$5:$D$9</c:f>
              <c:numCache>
                <c:formatCode>General</c:formatCode>
                <c:ptCount val="4"/>
              </c:numCache>
            </c:numRef>
          </c:val>
          <c:extLst>
            <c:ext xmlns:c16="http://schemas.microsoft.com/office/drawing/2014/chart" uri="{C3380CC4-5D6E-409C-BE32-E72D297353CC}">
              <c16:uniqueId val="{00000010-546B-4DFC-A08E-B0B792B347D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[Finance_data.hw.xlsx]Strategic!PivotTable4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Strategic!$H$11:$H$12</c:f>
              <c:strCache>
                <c:ptCount val="1"/>
                <c:pt idx="0">
                  <c:v>Female</c:v>
                </c:pt>
              </c:strCache>
            </c:strRef>
          </c:tx>
          <c:spPr>
            <a:solidFill>
              <a:schemeClr val="accent1"/>
            </a:solidFill>
            <a:ln>
              <a:noFill/>
            </a:ln>
            <a:effectLst/>
          </c:spPr>
          <c:invertIfNegative val="0"/>
          <c:cat>
            <c:strRef>
              <c:f>Strategic!$G$13:$G$15</c:f>
              <c:strCache>
                <c:ptCount val="2"/>
                <c:pt idx="0">
                  <c:v>Hight risk</c:v>
                </c:pt>
                <c:pt idx="1">
                  <c:v>Low Risk</c:v>
                </c:pt>
              </c:strCache>
            </c:strRef>
          </c:cat>
          <c:val>
            <c:numRef>
              <c:f>Strategic!$H$13:$H$15</c:f>
              <c:numCache>
                <c:formatCode>General</c:formatCode>
                <c:ptCount val="2"/>
                <c:pt idx="0">
                  <c:v>2</c:v>
                </c:pt>
                <c:pt idx="1">
                  <c:v>13</c:v>
                </c:pt>
              </c:numCache>
            </c:numRef>
          </c:val>
          <c:extLst>
            <c:ext xmlns:c16="http://schemas.microsoft.com/office/drawing/2014/chart" uri="{C3380CC4-5D6E-409C-BE32-E72D297353CC}">
              <c16:uniqueId val="{00000000-C9EA-4A21-9A28-C95BD4D1CBE7}"/>
            </c:ext>
          </c:extLst>
        </c:ser>
        <c:ser>
          <c:idx val="1"/>
          <c:order val="1"/>
          <c:tx>
            <c:strRef>
              <c:f>Strategic!$I$11:$I$12</c:f>
              <c:strCache>
                <c:ptCount val="1"/>
                <c:pt idx="0">
                  <c:v>Male</c:v>
                </c:pt>
              </c:strCache>
            </c:strRef>
          </c:tx>
          <c:spPr>
            <a:solidFill>
              <a:schemeClr val="accent2"/>
            </a:solidFill>
            <a:ln>
              <a:noFill/>
            </a:ln>
            <a:effectLst/>
          </c:spPr>
          <c:invertIfNegative val="0"/>
          <c:cat>
            <c:strRef>
              <c:f>Strategic!$G$13:$G$15</c:f>
              <c:strCache>
                <c:ptCount val="2"/>
                <c:pt idx="0">
                  <c:v>Hight risk</c:v>
                </c:pt>
                <c:pt idx="1">
                  <c:v>Low Risk</c:v>
                </c:pt>
              </c:strCache>
            </c:strRef>
          </c:cat>
          <c:val>
            <c:numRef>
              <c:f>Strategic!$I$13:$I$15</c:f>
              <c:numCache>
                <c:formatCode>General</c:formatCode>
                <c:ptCount val="2"/>
                <c:pt idx="0">
                  <c:v>4</c:v>
                </c:pt>
                <c:pt idx="1">
                  <c:v>21</c:v>
                </c:pt>
              </c:numCache>
            </c:numRef>
          </c:val>
          <c:extLst>
            <c:ext xmlns:c16="http://schemas.microsoft.com/office/drawing/2014/chart" uri="{C3380CC4-5D6E-409C-BE32-E72D297353CC}">
              <c16:uniqueId val="{00000001-C9EA-4A21-9A28-C95BD4D1CBE7}"/>
            </c:ext>
          </c:extLst>
        </c:ser>
        <c:dLbls>
          <c:showLegendKey val="0"/>
          <c:showVal val="0"/>
          <c:showCatName val="0"/>
          <c:showSerName val="0"/>
          <c:showPercent val="0"/>
          <c:showBubbleSize val="0"/>
        </c:dLbls>
        <c:gapWidth val="182"/>
        <c:axId val="258939456"/>
        <c:axId val="258939936"/>
      </c:barChart>
      <c:catAx>
        <c:axId val="2589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939936"/>
        <c:crosses val="autoZero"/>
        <c:auto val="1"/>
        <c:lblAlgn val="ctr"/>
        <c:lblOffset val="100"/>
        <c:noMultiLvlLbl val="0"/>
      </c:catAx>
      <c:valAx>
        <c:axId val="258939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93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9526</xdr:colOff>
      <xdr:row>7</xdr:row>
      <xdr:rowOff>66675</xdr:rowOff>
    </xdr:from>
    <xdr:to>
      <xdr:col>9</xdr:col>
      <xdr:colOff>152400</xdr:colOff>
      <xdr:row>16</xdr:row>
      <xdr:rowOff>9525</xdr:rowOff>
    </xdr:to>
    <xdr:graphicFrame macro="">
      <xdr:nvGraphicFramePr>
        <xdr:cNvPr id="3" name="Chart 2">
          <a:extLst>
            <a:ext uri="{FF2B5EF4-FFF2-40B4-BE49-F238E27FC236}">
              <a16:creationId xmlns:a16="http://schemas.microsoft.com/office/drawing/2014/main" id="{389D203F-6481-691B-70C4-A0FD8E9D9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180975</xdr:rowOff>
    </xdr:from>
    <xdr:to>
      <xdr:col>2</xdr:col>
      <xdr:colOff>19050</xdr:colOff>
      <xdr:row>18</xdr:row>
      <xdr:rowOff>180975</xdr:rowOff>
    </xdr:to>
    <xdr:graphicFrame macro="">
      <xdr:nvGraphicFramePr>
        <xdr:cNvPr id="2" name="Chart 1">
          <a:extLst>
            <a:ext uri="{FF2B5EF4-FFF2-40B4-BE49-F238E27FC236}">
              <a16:creationId xmlns:a16="http://schemas.microsoft.com/office/drawing/2014/main" id="{66414982-D4D2-F2E3-0C0D-2041F355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31750</xdr:colOff>
      <xdr:row>14</xdr:row>
      <xdr:rowOff>52916</xdr:rowOff>
    </xdr:from>
    <xdr:to>
      <xdr:col>10</xdr:col>
      <xdr:colOff>158751</xdr:colOff>
      <xdr:row>17</xdr:row>
      <xdr:rowOff>160673</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90CC79EA-0F2B-FB64-0FEC-6FE23ED6D30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069667" y="2793999"/>
              <a:ext cx="1513417" cy="679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74082</xdr:colOff>
      <xdr:row>18</xdr:row>
      <xdr:rowOff>52916</xdr:rowOff>
    </xdr:from>
    <xdr:to>
      <xdr:col>10</xdr:col>
      <xdr:colOff>169334</xdr:colOff>
      <xdr:row>22</xdr:row>
      <xdr:rowOff>10584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C8EB871-534D-5E6A-75E6-AFE6A246EA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11999" y="3555999"/>
              <a:ext cx="1481668" cy="719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19242</xdr:colOff>
      <xdr:row>6</xdr:row>
      <xdr:rowOff>192423</xdr:rowOff>
    </xdr:from>
    <xdr:to>
      <xdr:col>3</xdr:col>
      <xdr:colOff>1452802</xdr:colOff>
      <xdr:row>18</xdr:row>
      <xdr:rowOff>192423</xdr:rowOff>
    </xdr:to>
    <xdr:graphicFrame macro="">
      <xdr:nvGraphicFramePr>
        <xdr:cNvPr id="6" name="Chart 5">
          <a:extLst>
            <a:ext uri="{FF2B5EF4-FFF2-40B4-BE49-F238E27FC236}">
              <a16:creationId xmlns:a16="http://schemas.microsoft.com/office/drawing/2014/main" id="{BD98E2DB-82AF-4B02-81CD-6A2E04242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18279</xdr:colOff>
      <xdr:row>8</xdr:row>
      <xdr:rowOff>145281</xdr:rowOff>
    </xdr:from>
    <xdr:to>
      <xdr:col>11</xdr:col>
      <xdr:colOff>1195917</xdr:colOff>
      <xdr:row>17</xdr:row>
      <xdr:rowOff>99098</xdr:rowOff>
    </xdr:to>
    <xdr:graphicFrame macro="">
      <xdr:nvGraphicFramePr>
        <xdr:cNvPr id="2" name="Chart 1">
          <a:extLst>
            <a:ext uri="{FF2B5EF4-FFF2-40B4-BE49-F238E27FC236}">
              <a16:creationId xmlns:a16="http://schemas.microsoft.com/office/drawing/2014/main" id="{45350CC3-FB57-498F-A32D-EFBF8113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209550</xdr:colOff>
      <xdr:row>17</xdr:row>
      <xdr:rowOff>114300</xdr:rowOff>
    </xdr:from>
    <xdr:to>
      <xdr:col>14</xdr:col>
      <xdr:colOff>57149</xdr:colOff>
      <xdr:row>22</xdr:row>
      <xdr:rowOff>47625</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9872A0D6-29F3-662B-2638-221E8C967E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943975" y="2971800"/>
              <a:ext cx="1219199"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295275</xdr:colOff>
      <xdr:row>17</xdr:row>
      <xdr:rowOff>95250</xdr:rowOff>
    </xdr:from>
    <xdr:to>
      <xdr:col>11</xdr:col>
      <xdr:colOff>1371600</xdr:colOff>
      <xdr:row>22</xdr:row>
      <xdr:rowOff>95250</xdr:rowOff>
    </xdr:to>
    <mc:AlternateContent xmlns:mc="http://schemas.openxmlformats.org/markup-compatibility/2006" xmlns:a14="http://schemas.microsoft.com/office/drawing/2010/main">
      <mc:Choice Requires="a14">
        <xdr:graphicFrame macro="">
          <xdr:nvGraphicFramePr>
            <xdr:cNvPr id="3" name="Age 1">
              <a:extLst>
                <a:ext uri="{FF2B5EF4-FFF2-40B4-BE49-F238E27FC236}">
                  <a16:creationId xmlns:a16="http://schemas.microsoft.com/office/drawing/2014/main" id="{B791EFE0-B833-04AF-3742-A63615C5C761}"/>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7620000" y="2952750"/>
              <a:ext cx="107632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57150</xdr:rowOff>
    </xdr:from>
    <xdr:to>
      <xdr:col>4</xdr:col>
      <xdr:colOff>740834</xdr:colOff>
      <xdr:row>20</xdr:row>
      <xdr:rowOff>28575</xdr:rowOff>
    </xdr:to>
    <xdr:graphicFrame macro="">
      <xdr:nvGraphicFramePr>
        <xdr:cNvPr id="4" name="Chart 3">
          <a:extLst>
            <a:ext uri="{FF2B5EF4-FFF2-40B4-BE49-F238E27FC236}">
              <a16:creationId xmlns:a16="http://schemas.microsoft.com/office/drawing/2014/main" id="{B4B062BC-134D-CF88-E08A-FE2966AEA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xdr:row>
      <xdr:rowOff>9525</xdr:rowOff>
    </xdr:from>
    <xdr:to>
      <xdr:col>10</xdr:col>
      <xdr:colOff>9525</xdr:colOff>
      <xdr:row>9</xdr:row>
      <xdr:rowOff>161925</xdr:rowOff>
    </xdr:to>
    <xdr:graphicFrame macro="">
      <xdr:nvGraphicFramePr>
        <xdr:cNvPr id="5" name="Chart 4">
          <a:extLst>
            <a:ext uri="{FF2B5EF4-FFF2-40B4-BE49-F238E27FC236}">
              <a16:creationId xmlns:a16="http://schemas.microsoft.com/office/drawing/2014/main" id="{F0DC6AF2-80C5-68BF-B479-6C7F1DAF0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15</xdr:row>
      <xdr:rowOff>28576</xdr:rowOff>
    </xdr:from>
    <xdr:to>
      <xdr:col>10</xdr:col>
      <xdr:colOff>238126</xdr:colOff>
      <xdr:row>21</xdr:row>
      <xdr:rowOff>180975</xdr:rowOff>
    </xdr:to>
    <xdr:graphicFrame macro="">
      <xdr:nvGraphicFramePr>
        <xdr:cNvPr id="7" name="Chart 6">
          <a:extLst>
            <a:ext uri="{FF2B5EF4-FFF2-40B4-BE49-F238E27FC236}">
              <a16:creationId xmlns:a16="http://schemas.microsoft.com/office/drawing/2014/main" id="{622D8B5A-45A4-1BC3-42D3-5DC6A9D90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2.687725810189" createdVersion="8" refreshedVersion="8" minRefreshableVersion="3" recordCount="44" xr:uid="{B675337E-8E76-44C2-BA86-7C65DCB28B89}">
  <cacheSource type="worksheet">
    <worksheetSource ref="A1:X1048576" sheet="Finance_data"/>
  </cacheSource>
  <cacheFields count="24">
    <cacheField name="Gender" numFmtId="0">
      <sharedItems containsBlank="1" count="3">
        <s v="Female"/>
        <s v="Male"/>
        <m/>
      </sharedItems>
    </cacheField>
    <cacheField name="Age" numFmtId="0">
      <sharedItems containsString="0" containsBlank="1" containsNumber="1" containsInteger="1" minValue="21" maxValue="35"/>
    </cacheField>
    <cacheField name="Investment_Avenues" numFmtId="0">
      <sharedItems containsBlank="1" count="3">
        <s v="Yes"/>
        <s v="No"/>
        <m/>
      </sharedItems>
    </cacheField>
    <cacheField name="Mutual_Funds" numFmtId="0">
      <sharedItems containsString="0" containsBlank="1" containsNumber="1" containsInteger="1" minValue="1" maxValue="102" count="8">
        <n v="1"/>
        <n v="4"/>
        <n v="3"/>
        <n v="2"/>
        <n v="7"/>
        <n v="5"/>
        <n v="102"/>
        <m/>
      </sharedItems>
    </cacheField>
    <cacheField name="Equity_Market" numFmtId="0">
      <sharedItems containsString="0" containsBlank="1" containsNumber="1" containsInteger="1" minValue="1" maxValue="139" count="8">
        <n v="2"/>
        <n v="3"/>
        <n v="6"/>
        <n v="1"/>
        <n v="5"/>
        <n v="4"/>
        <n v="139"/>
        <m/>
      </sharedItems>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ount="4">
        <s v="Capital Appreciation"/>
        <s v="Income"/>
        <s v="Growth"/>
        <m/>
      </sharedItems>
    </cacheField>
    <cacheField name="Purpose" numFmtId="0">
      <sharedItems containsBlank="1"/>
    </cacheField>
    <cacheField name="Duration" numFmtId="0">
      <sharedItems containsBlank="1"/>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ount="4">
        <s v="Retirement Plan"/>
        <s v="Health Care"/>
        <s v="Education"/>
        <m/>
      </sharedItems>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2.856852777775" createdVersion="8" refreshedVersion="8" minRefreshableVersion="3" recordCount="42" xr:uid="{D84C5716-DDA0-44F2-9B64-573E8762AF7B}">
  <cacheSource type="worksheet">
    <worksheetSource ref="A1:Y1048576" sheet="Finance_data"/>
  </cacheSource>
  <cacheFields count="25">
    <cacheField name="Gender" numFmtId="0">
      <sharedItems containsBlank="1"/>
    </cacheField>
    <cacheField name="Age" numFmtId="0">
      <sharedItems containsString="0" containsBlank="1" containsNumber="1" containsInteger="1" minValue="21" maxValue="35"/>
    </cacheField>
    <cacheField name="Investment_Avenues" numFmtId="0">
      <sharedItems containsBlank="1"/>
    </cacheField>
    <cacheField name="Mutual_Funds" numFmtId="0">
      <sharedItems containsString="0" containsBlank="1" containsNumber="1" containsInteger="1" minValue="1" maxValue="102"/>
    </cacheField>
    <cacheField name="Equity_Market" numFmtId="0">
      <sharedItems containsString="0" containsBlank="1" containsNumber="1" containsInteger="1" minValue="1" maxValue="139"/>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 name="Age Group" numFmtId="0">
      <sharedItems containsBlank="1" count="4">
        <s v="Above 40"/>
        <s v="25-30"/>
        <s v="30-35"/>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2.887374537037" createdVersion="8" refreshedVersion="8" minRefreshableVersion="3" recordCount="42" xr:uid="{5A16BD18-69B2-4AEC-B721-34B691D5F84B}">
  <cacheSource type="worksheet">
    <worksheetSource ref="A1:Z1048576" sheet="Finance_data"/>
  </cacheSource>
  <cacheFields count="26">
    <cacheField name="Gender" numFmtId="0">
      <sharedItems containsBlank="1" count="3">
        <s v="Female"/>
        <s v="Male"/>
        <m/>
      </sharedItems>
    </cacheField>
    <cacheField name="Age" numFmtId="0">
      <sharedItems containsString="0" containsBlank="1" containsNumber="1" containsInteger="1" minValue="21" maxValue="35" count="15">
        <n v="34"/>
        <n v="23"/>
        <n v="30"/>
        <n v="22"/>
        <n v="24"/>
        <n v="27"/>
        <n v="21"/>
        <n v="35"/>
        <n v="31"/>
        <n v="29"/>
        <n v="28"/>
        <n v="25"/>
        <n v="26"/>
        <n v="32"/>
        <m/>
      </sharedItems>
    </cacheField>
    <cacheField name="Investment_Avenues" numFmtId="0">
      <sharedItems containsBlank="1"/>
    </cacheField>
    <cacheField name="Mutual_Funds" numFmtId="0">
      <sharedItems containsString="0" containsBlank="1" containsNumber="1" containsInteger="1" minValue="1" maxValue="102"/>
    </cacheField>
    <cacheField name="Equity_Market" numFmtId="0">
      <sharedItems containsString="0" containsBlank="1" containsNumber="1" containsInteger="1" minValue="1" maxValue="139"/>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ount="5">
        <s v="1-3 years"/>
        <s v="More than 5 years"/>
        <s v="3-5 years"/>
        <s v="Less than 1 year"/>
        <m/>
      </sharedItems>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 name="Age Group" numFmtId="0">
      <sharedItems containsBlank="1"/>
    </cacheField>
    <cacheField name="Low Risk investir" numFmtId="0">
      <sharedItems containsBlank="1"/>
    </cacheField>
  </cacheFields>
  <extLst>
    <ext xmlns:x14="http://schemas.microsoft.com/office/spreadsheetml/2009/9/main" uri="{725AE2AE-9491-48be-B2B4-4EB974FC3084}">
      <x14:pivotCacheDefinition pivotCacheId="21578697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3.56318020833" createdVersion="8" refreshedVersion="8" minRefreshableVersion="3" recordCount="42" xr:uid="{0805D67F-129B-4059-A8F1-D899D3EB37BD}">
  <cacheSource type="worksheet">
    <worksheetSource ref="A1:AD1048576" sheet="Finance_data"/>
  </cacheSource>
  <cacheFields count="30">
    <cacheField name="Gender" numFmtId="0">
      <sharedItems containsBlank="1" count="3">
        <s v="Female"/>
        <s v="Male"/>
        <m/>
      </sharedItems>
    </cacheField>
    <cacheField name="Age" numFmtId="0">
      <sharedItems containsString="0" containsBlank="1" containsNumber="1" containsInteger="1" minValue="21" maxValue="35"/>
    </cacheField>
    <cacheField name="Investment_Avenues" numFmtId="0">
      <sharedItems containsBlank="1"/>
    </cacheField>
    <cacheField name="Mutual_Funds" numFmtId="0">
      <sharedItems containsString="0" containsBlank="1" containsNumber="1" containsInteger="1" minValue="1" maxValue="102"/>
    </cacheField>
    <cacheField name="Equity_Market" numFmtId="0">
      <sharedItems containsString="0" containsBlank="1" containsNumber="1" containsInteger="1" minValue="1" maxValue="139"/>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 name="Age Group" numFmtId="0">
      <sharedItems containsBlank="1"/>
    </cacheField>
    <cacheField name="Low Risk investir" numFmtId="0">
      <sharedItems containsBlank="1"/>
    </cacheField>
    <cacheField name="AVG Return Value" numFmtId="0">
      <sharedItems containsString="0" containsBlank="1" containsNumber="1" containsInteger="1" minValue="15" maxValue="35"/>
    </cacheField>
    <cacheField name="High RISK" numFmtId="0">
      <sharedItems containsString="0" containsBlank="1" containsNumber="1" containsInteger="1" minValue="6" maxValue="16"/>
    </cacheField>
    <cacheField name="Low Risk" numFmtId="0">
      <sharedItems containsString="0" containsBlank="1" containsNumber="1" containsInteger="1" minValue="10" maxValue="18"/>
    </cacheField>
    <cacheField name="Risk Study" numFmtId="0">
      <sharedItems containsBlank="1" count="3">
        <s v="Low Risk"/>
        <s v="Hight risk"/>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3.580400810184" createdVersion="8" refreshedVersion="8" minRefreshableVersion="3" recordCount="42" xr:uid="{570374FA-E7EE-49F0-97F6-5E3602F87464}">
  <cacheSource type="worksheet">
    <worksheetSource ref="A1:AE1048576" sheet="Finance_data"/>
  </cacheSource>
  <cacheFields count="31">
    <cacheField name="Gender" numFmtId="0">
      <sharedItems containsBlank="1" count="3">
        <s v="Female"/>
        <s v="Male"/>
        <m/>
      </sharedItems>
    </cacheField>
    <cacheField name="Age" numFmtId="0">
      <sharedItems containsString="0" containsBlank="1" containsNumber="1" containsInteger="1" minValue="21" maxValue="35"/>
    </cacheField>
    <cacheField name="Investment_Avenues" numFmtId="0">
      <sharedItems containsBlank="1"/>
    </cacheField>
    <cacheField name="Mutual_Funds" numFmtId="0">
      <sharedItems containsString="0" containsBlank="1" containsNumber="1" containsInteger="1" minValue="1" maxValue="102"/>
    </cacheField>
    <cacheField name="Equity_Market" numFmtId="0">
      <sharedItems containsString="0" containsBlank="1" containsNumber="1" containsInteger="1" minValue="1" maxValue="139"/>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 name="Age Group" numFmtId="0">
      <sharedItems containsBlank="1"/>
    </cacheField>
    <cacheField name="Low Risk investir" numFmtId="0">
      <sharedItems containsBlank="1"/>
    </cacheField>
    <cacheField name="AVG Return Value" numFmtId="0">
      <sharedItems containsString="0" containsBlank="1" containsNumber="1" containsInteger="1" minValue="15" maxValue="35"/>
    </cacheField>
    <cacheField name="High RISK" numFmtId="0">
      <sharedItems containsString="0" containsBlank="1" containsNumber="1" containsInteger="1" minValue="6" maxValue="16"/>
    </cacheField>
    <cacheField name="Low Risk" numFmtId="0">
      <sharedItems containsString="0" containsBlank="1" containsNumber="1" containsInteger="1" minValue="10" maxValue="18"/>
    </cacheField>
    <cacheField name="Risk Study" numFmtId="0">
      <sharedItems containsBlank="1" count="3">
        <s v="Low Risk"/>
        <s v="Hight risk"/>
        <m/>
      </sharedItems>
    </cacheField>
    <cacheField name="Investor Persona" numFmtId="0">
      <sharedItems containsBlank="1" count="3">
        <s v="Conservative"/>
        <s v="Young Aggressive"/>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3.590895833331" createdVersion="8" refreshedVersion="8" minRefreshableVersion="3" recordCount="42" xr:uid="{951C944B-D21B-4191-9F2B-6273B5055C6A}">
  <cacheSource type="worksheet">
    <worksheetSource ref="A1:AF1048576" sheet="Finance_data"/>
  </cacheSource>
  <cacheFields count="32">
    <cacheField name="Gender" numFmtId="0">
      <sharedItems containsBlank="1"/>
    </cacheField>
    <cacheField name="Age" numFmtId="0">
      <sharedItems containsString="0" containsBlank="1" containsNumber="1" containsInteger="1" minValue="21" maxValue="35"/>
    </cacheField>
    <cacheField name="Investment_Avenues" numFmtId="0">
      <sharedItems containsBlank="1"/>
    </cacheField>
    <cacheField name="Mutual_Funds" numFmtId="0">
      <sharedItems containsString="0" containsBlank="1" containsNumber="1" containsInteger="1" minValue="1" maxValue="102"/>
    </cacheField>
    <cacheField name="Equity_Market" numFmtId="0">
      <sharedItems containsString="0" containsBlank="1" containsNumber="1" containsInteger="1" minValue="1" maxValue="139"/>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 name="Age Group" numFmtId="0">
      <sharedItems containsBlank="1"/>
    </cacheField>
    <cacheField name="Low Risk investir" numFmtId="0">
      <sharedItems containsBlank="1"/>
    </cacheField>
    <cacheField name="AVG Return Value" numFmtId="0">
      <sharedItems containsString="0" containsBlank="1" containsNumber="1" containsInteger="1" minValue="15" maxValue="35"/>
    </cacheField>
    <cacheField name="High RISK" numFmtId="0">
      <sharedItems containsString="0" containsBlank="1" containsNumber="1" containsInteger="1" minValue="6" maxValue="16"/>
    </cacheField>
    <cacheField name="Low Risk" numFmtId="0">
      <sharedItems containsString="0" containsBlank="1" containsNumber="1" containsInteger="1" minValue="10" maxValue="18"/>
    </cacheField>
    <cacheField name="Risk Study" numFmtId="0">
      <sharedItems containsBlank="1" count="3">
        <s v="Low Risk"/>
        <s v="High risk"/>
        <m/>
      </sharedItems>
    </cacheField>
    <cacheField name="Investor Persona" numFmtId="0">
      <sharedItems containsBlank="1"/>
    </cacheField>
    <cacheField name="Auto Ditect" numFmtId="0">
      <sharedItems containsBlank="1" count="3">
        <s v="FD/Bonds/PPF"/>
        <s v="Equity/Mutual Funds"/>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ini Dash" refreshedDate="46107.472399421298" createdVersion="8" refreshedVersion="8" minRefreshableVersion="3" recordCount="42" xr:uid="{35BA5F90-6B69-49CD-8221-42B3C22A35B7}">
  <cacheSource type="worksheet">
    <worksheetSource ref="A1:AA1048576" sheet="Finance_data"/>
  </cacheSource>
  <cacheFields count="27">
    <cacheField name="Gender" numFmtId="0">
      <sharedItems containsBlank="1" count="3">
        <s v="Female"/>
        <s v="Male"/>
        <m/>
      </sharedItems>
    </cacheField>
    <cacheField name="Age" numFmtId="0">
      <sharedItems containsString="0" containsBlank="1" containsNumber="1" containsInteger="1" minValue="21" maxValue="35" count="15">
        <n v="34"/>
        <n v="23"/>
        <n v="30"/>
        <n v="22"/>
        <n v="24"/>
        <n v="27"/>
        <n v="21"/>
        <n v="35"/>
        <n v="31"/>
        <n v="29"/>
        <n v="28"/>
        <n v="25"/>
        <n v="26"/>
        <n v="32"/>
        <m/>
      </sharedItems>
    </cacheField>
    <cacheField name="Investment_Avenues" numFmtId="0">
      <sharedItems containsBlank="1"/>
    </cacheField>
    <cacheField name="Mutual_Funds" numFmtId="0">
      <sharedItems containsString="0" containsBlank="1" containsNumber="1" containsInteger="1" minValue="1" maxValue="102"/>
    </cacheField>
    <cacheField name="Equity_Market" numFmtId="0">
      <sharedItems containsString="0" containsBlank="1" containsNumber="1" containsInteger="1" minValue="1" maxValue="139"/>
    </cacheField>
    <cacheField name="Debentures" numFmtId="0">
      <sharedItems containsString="0" containsBlank="1" containsNumber="1" containsInteger="1" minValue="1" maxValue="230"/>
    </cacheField>
    <cacheField name="Government_Bonds" numFmtId="0">
      <sharedItems containsString="0" containsBlank="1" containsNumber="1" containsInteger="1" minValue="1" maxValue="186"/>
    </cacheField>
    <cacheField name="Fixed_Deposits" numFmtId="0">
      <sharedItems containsString="0" containsBlank="1" containsNumber="1" containsInteger="1" minValue="1" maxValue="143"/>
    </cacheField>
    <cacheField name="PPF" numFmtId="0">
      <sharedItems containsString="0" containsBlank="1" containsNumber="1" containsInteger="1" minValue="1" maxValue="81"/>
    </cacheField>
    <cacheField name="Gold" numFmtId="0">
      <sharedItems containsString="0" containsBlank="1" containsNumber="1" containsInteger="1" minValue="2" maxValue="239"/>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acheField>
    <cacheField name="Invest_Monitor" numFmtId="0">
      <sharedItems containsBlank="1" count="4">
        <s v="Monthly"/>
        <s v="Weekly"/>
        <s v="Daily"/>
        <m/>
      </sharedItems>
    </cacheField>
    <cacheField name="Expect" numFmtId="0">
      <sharedItems containsBlank="1"/>
    </cacheField>
    <cacheField name="Avenue" numFmtId="0">
      <sharedItems containsBlank="1" count="5">
        <s v="Mutual Fund"/>
        <s v="Equity"/>
        <s v="Fixed Deposits"/>
        <s v="Public Provident Fund"/>
        <m/>
      </sharedItems>
    </cacheField>
    <cacheField name="What are your savings objectives?" numFmtId="0">
      <sharedItems containsBlank="1" count="4">
        <s v="Retirement Plan"/>
        <s v="Health Care"/>
        <s v="Education"/>
        <m/>
      </sharedItems>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 name="Age Group" numFmtId="0">
      <sharedItems containsBlank="1" count="3">
        <s v="30-40"/>
        <s v="20-30"/>
        <m/>
      </sharedItems>
    </cacheField>
    <cacheField name="Low Risk investir" numFmtId="0">
      <sharedItems containsBlank="1"/>
    </cacheField>
    <cacheField name="AVG Return Value" numFmtId="0">
      <sharedItems containsString="0" containsBlank="1" containsNumber="1" containsInteger="1" minValue="15" maxValue="35"/>
    </cacheField>
  </cacheFields>
  <extLst>
    <ext xmlns:x14="http://schemas.microsoft.com/office/spreadsheetml/2009/9/main" uri="{725AE2AE-9491-48be-B2B4-4EB974FC3084}">
      <x14:pivotCacheDefinition pivotCacheId="1050258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n v="34"/>
    <x v="0"/>
    <x v="0"/>
    <x v="0"/>
    <n v="5"/>
    <n v="3"/>
    <n v="7"/>
    <n v="6"/>
    <n v="4"/>
    <s v="Yes"/>
    <s v="Returns"/>
    <x v="0"/>
    <s v="Wealth Creation"/>
    <s v="1-3 years"/>
    <s v="Monthly"/>
    <s v="20%-30%"/>
    <s v="Mutual Fund"/>
    <x v="0"/>
    <s v="Capital Appreciation"/>
    <s v="Better Returns"/>
    <s v="Safe Investment"/>
    <s v="Fixed Returns"/>
    <s v="Newspapers and Magazines"/>
  </r>
  <r>
    <x v="0"/>
    <n v="23"/>
    <x v="0"/>
    <x v="1"/>
    <x v="1"/>
    <n v="2"/>
    <n v="1"/>
    <n v="5"/>
    <n v="6"/>
    <n v="7"/>
    <s v="No"/>
    <s v="Locking Period"/>
    <x v="0"/>
    <s v="Wealth Creation"/>
    <s v="More than 5 years"/>
    <s v="Weekly"/>
    <s v="20%-30%"/>
    <s v="Mutual Fund"/>
    <x v="1"/>
    <s v="Dividend"/>
    <s v="Better Returns"/>
    <s v="Safe Investment"/>
    <s v="High Interest Rates"/>
    <s v="Financial Consultants"/>
  </r>
  <r>
    <x v="1"/>
    <n v="30"/>
    <x v="0"/>
    <x v="2"/>
    <x v="2"/>
    <n v="4"/>
    <n v="2"/>
    <n v="5"/>
    <n v="1"/>
    <n v="7"/>
    <s v="Yes"/>
    <s v="Returns"/>
    <x v="0"/>
    <s v="Wealth Creation"/>
    <s v="3-5 years"/>
    <s v="Daily"/>
    <s v="20%-30%"/>
    <s v="Equity"/>
    <x v="0"/>
    <s v="Capital Appreciation"/>
    <s v="Tax Benefits"/>
    <s v="Assured Returns"/>
    <s v="Fixed Returns"/>
    <s v="Television"/>
  </r>
  <r>
    <x v="1"/>
    <n v="22"/>
    <x v="0"/>
    <x v="3"/>
    <x v="3"/>
    <n v="3"/>
    <n v="7"/>
    <n v="6"/>
    <n v="4"/>
    <n v="5"/>
    <s v="Yes"/>
    <s v="Returns"/>
    <x v="1"/>
    <s v="Wealth Creation"/>
    <s v="Less than 1 year"/>
    <s v="Daily"/>
    <s v="10%-20%"/>
    <s v="Equity"/>
    <x v="0"/>
    <s v="Dividend"/>
    <s v="Fund Diversification"/>
    <s v="Tax Incentives"/>
    <s v="High Interest Rates"/>
    <s v="Internet"/>
  </r>
  <r>
    <x v="0"/>
    <n v="24"/>
    <x v="1"/>
    <x v="3"/>
    <x v="3"/>
    <n v="3"/>
    <n v="6"/>
    <n v="4"/>
    <n v="5"/>
    <n v="7"/>
    <s v="No"/>
    <s v="Returns"/>
    <x v="1"/>
    <s v="Wealth Creation"/>
    <s v="Less than 1 year"/>
    <s v="Daily"/>
    <s v="20%-30%"/>
    <s v="Equity"/>
    <x v="0"/>
    <s v="Capital Appreciation"/>
    <s v="Better Returns"/>
    <s v="Safe Investment"/>
    <s v="Risk Free"/>
    <s v="Internet"/>
  </r>
  <r>
    <x v="0"/>
    <n v="24"/>
    <x v="1"/>
    <x v="4"/>
    <x v="4"/>
    <n v="4"/>
    <n v="6"/>
    <n v="3"/>
    <n v="1"/>
    <n v="2"/>
    <s v="No"/>
    <s v="Risk"/>
    <x v="0"/>
    <s v="Wealth Creation"/>
    <s v="1-3 years"/>
    <s v="Daily"/>
    <s v="30%-40%"/>
    <s v="Mutual Fund"/>
    <x v="0"/>
    <s v="Liquidity"/>
    <s v="Fund Diversification"/>
    <s v="Safe Investment"/>
    <s v="Risk Free"/>
    <s v="Internet"/>
  </r>
  <r>
    <x v="0"/>
    <n v="27"/>
    <x v="0"/>
    <x v="2"/>
    <x v="2"/>
    <n v="4"/>
    <n v="2"/>
    <n v="5"/>
    <n v="1"/>
    <n v="7"/>
    <s v="Yes"/>
    <s v="Returns"/>
    <x v="0"/>
    <s v="Wealth Creation"/>
    <s v="3-5 years"/>
    <s v="Monthly"/>
    <s v="20%-30%"/>
    <s v="Equity"/>
    <x v="0"/>
    <s v="Capital Appreciation"/>
    <s v="Better Returns"/>
    <s v="Assured Returns"/>
    <s v="High Interest Rates"/>
    <s v="Financial Consultants"/>
  </r>
  <r>
    <x v="1"/>
    <n v="21"/>
    <x v="0"/>
    <x v="3"/>
    <x v="1"/>
    <n v="7"/>
    <n v="4"/>
    <n v="6"/>
    <n v="1"/>
    <n v="5"/>
    <s v="Yes"/>
    <s v="Risk"/>
    <x v="0"/>
    <s v="Wealth Creation"/>
    <s v="3-5 years"/>
    <s v="Monthly"/>
    <s v="20%-30%"/>
    <s v="Mutual Fund"/>
    <x v="0"/>
    <s v="Capital Appreciation"/>
    <s v="Better Returns"/>
    <s v="Assured Returns"/>
    <s v="Risk Free"/>
    <s v="Newspapers and Magazines"/>
  </r>
  <r>
    <x v="1"/>
    <n v="35"/>
    <x v="0"/>
    <x v="3"/>
    <x v="5"/>
    <n v="7"/>
    <n v="5"/>
    <n v="3"/>
    <n v="1"/>
    <n v="6"/>
    <s v="Yes"/>
    <s v="Returns"/>
    <x v="2"/>
    <s v="Savings for Future"/>
    <s v="1-3 years"/>
    <s v="Weekly"/>
    <s v="20%-30%"/>
    <s v="Equity"/>
    <x v="0"/>
    <s v="Capital Appreciation"/>
    <s v="Fund Diversification"/>
    <s v="Safe Investment"/>
    <s v="Fixed Returns"/>
    <s v="Television"/>
  </r>
  <r>
    <x v="1"/>
    <n v="31"/>
    <x v="0"/>
    <x v="0"/>
    <x v="1"/>
    <n v="7"/>
    <n v="4"/>
    <n v="5"/>
    <n v="2"/>
    <n v="6"/>
    <s v="Yes"/>
    <s v="Returns"/>
    <x v="0"/>
    <s v="Wealth Creation"/>
    <s v="3-5 years"/>
    <s v="Monthly"/>
    <s v="30%-40%"/>
    <s v="Fixed Deposits"/>
    <x v="0"/>
    <s v="Capital Appreciation"/>
    <s v="Fund Diversification"/>
    <s v="Assured Returns"/>
    <s v="Fixed Returns"/>
    <s v="Newspapers and Magazines"/>
  </r>
  <r>
    <x v="0"/>
    <n v="35"/>
    <x v="0"/>
    <x v="3"/>
    <x v="5"/>
    <n v="7"/>
    <n v="5"/>
    <n v="3"/>
    <n v="1"/>
    <n v="6"/>
    <s v="Yes"/>
    <s v="Risk"/>
    <x v="2"/>
    <s v="Savings for Future"/>
    <s v="3-5 years"/>
    <s v="Monthly"/>
    <s v="20%-30%"/>
    <s v="Mutual Fund"/>
    <x v="0"/>
    <s v="Capital Appreciation"/>
    <s v="Better Returns"/>
    <s v="Assured Returns"/>
    <s v="Risk Free"/>
    <s v="Financial Consultants"/>
  </r>
  <r>
    <x v="1"/>
    <n v="29"/>
    <x v="0"/>
    <x v="3"/>
    <x v="4"/>
    <n v="7"/>
    <n v="6"/>
    <n v="3"/>
    <n v="1"/>
    <n v="4"/>
    <s v="Yes"/>
    <s v="Risk"/>
    <x v="0"/>
    <s v="Wealth Creation"/>
    <s v="1-3 years"/>
    <s v="Monthly"/>
    <s v="20%-30%"/>
    <s v="Mutual Fund"/>
    <x v="0"/>
    <s v="Capital Appreciation"/>
    <s v="Fund Diversification"/>
    <s v="Assured Returns"/>
    <s v="Fixed Returns"/>
    <s v="Financial Consultants"/>
  </r>
  <r>
    <x v="0"/>
    <n v="21"/>
    <x v="1"/>
    <x v="0"/>
    <x v="0"/>
    <n v="3"/>
    <n v="4"/>
    <n v="5"/>
    <n v="6"/>
    <n v="7"/>
    <s v="No"/>
    <s v="Returns"/>
    <x v="0"/>
    <s v="Savings for Future"/>
    <s v="1-3 years"/>
    <s v="Weekly"/>
    <s v="20%-30%"/>
    <s v="Mutual Fund"/>
    <x v="2"/>
    <s v="Dividend"/>
    <s v="Better Returns"/>
    <s v="Safe Investment"/>
    <s v="Risk Free"/>
    <s v="Internet"/>
  </r>
  <r>
    <x v="0"/>
    <n v="28"/>
    <x v="0"/>
    <x v="3"/>
    <x v="1"/>
    <n v="7"/>
    <n v="4"/>
    <n v="5"/>
    <n v="1"/>
    <n v="6"/>
    <s v="Yes"/>
    <s v="Returns"/>
    <x v="0"/>
    <s v="Wealth Creation"/>
    <s v="1-3 years"/>
    <s v="Monthly"/>
    <s v="20%-30%"/>
    <s v="Mutual Fund"/>
    <x v="0"/>
    <s v="Capital Appreciation"/>
    <s v="Fund Diversification"/>
    <s v="Assured Returns"/>
    <s v="Risk Free"/>
    <s v="Newspapers and Magazines"/>
  </r>
  <r>
    <x v="0"/>
    <n v="25"/>
    <x v="0"/>
    <x v="3"/>
    <x v="1"/>
    <n v="7"/>
    <n v="5"/>
    <n v="4"/>
    <n v="1"/>
    <n v="6"/>
    <s v="Yes"/>
    <s v="Returns"/>
    <x v="0"/>
    <s v="Wealth Creation"/>
    <s v="1-3 years"/>
    <s v="Monthly"/>
    <s v="20%-30%"/>
    <s v="Fixed Deposits"/>
    <x v="1"/>
    <s v="Dividend"/>
    <s v="Better Returns"/>
    <s v="Assured Returns"/>
    <s v="Risk Free"/>
    <s v="Financial Consultants"/>
  </r>
  <r>
    <x v="1"/>
    <n v="27"/>
    <x v="0"/>
    <x v="3"/>
    <x v="1"/>
    <n v="7"/>
    <n v="5"/>
    <n v="4"/>
    <n v="1"/>
    <n v="6"/>
    <s v="Yes"/>
    <s v="Returns"/>
    <x v="0"/>
    <s v="Wealth Creation"/>
    <s v="1-3 years"/>
    <s v="Monthly"/>
    <s v="20%-30%"/>
    <s v="Mutual Fund"/>
    <x v="1"/>
    <s v="Capital Appreciation"/>
    <s v="Fund Diversification"/>
    <s v="Assured Returns"/>
    <s v="Risk Free"/>
    <s v="Newspapers and Magazines"/>
  </r>
  <r>
    <x v="0"/>
    <n v="28"/>
    <x v="0"/>
    <x v="2"/>
    <x v="0"/>
    <n v="7"/>
    <n v="5"/>
    <n v="4"/>
    <n v="1"/>
    <n v="6"/>
    <s v="Yes"/>
    <s v="Risk"/>
    <x v="2"/>
    <s v="Wealth Creation"/>
    <s v="1-3 years"/>
    <s v="Monthly"/>
    <s v="20%-30%"/>
    <s v="Fixed Deposits"/>
    <x v="1"/>
    <s v="Capital Appreciation"/>
    <s v="Fund Diversification"/>
    <s v="Assured Returns"/>
    <s v="Risk Free"/>
    <s v="Television"/>
  </r>
  <r>
    <x v="1"/>
    <n v="27"/>
    <x v="0"/>
    <x v="2"/>
    <x v="0"/>
    <n v="7"/>
    <n v="4"/>
    <n v="5"/>
    <n v="1"/>
    <n v="6"/>
    <s v="Yes"/>
    <s v="Returns"/>
    <x v="0"/>
    <s v="Wealth Creation"/>
    <s v="1-3 years"/>
    <s v="Monthly"/>
    <s v="20%-30%"/>
    <s v="Mutual Fund"/>
    <x v="0"/>
    <s v="Capital Appreciation"/>
    <s v="Better Returns"/>
    <s v="Assured Returns"/>
    <s v="Risk Free"/>
    <s v="Financial Consultants"/>
  </r>
  <r>
    <x v="1"/>
    <n v="29"/>
    <x v="0"/>
    <x v="2"/>
    <x v="0"/>
    <n v="7"/>
    <n v="4"/>
    <n v="5"/>
    <n v="1"/>
    <n v="6"/>
    <s v="Yes"/>
    <s v="Risk"/>
    <x v="0"/>
    <s v="Wealth Creation"/>
    <s v="1-3 years"/>
    <s v="Monthly"/>
    <s v="20%-30%"/>
    <s v="Mutual Fund"/>
    <x v="0"/>
    <s v="Capital Appreciation"/>
    <s v="Better Returns"/>
    <s v="Assured Returns"/>
    <s v="Risk Free"/>
    <s v="Newspapers and Magazines"/>
  </r>
  <r>
    <x v="1"/>
    <n v="26"/>
    <x v="0"/>
    <x v="2"/>
    <x v="5"/>
    <n v="6"/>
    <n v="5"/>
    <n v="1"/>
    <n v="2"/>
    <n v="7"/>
    <s v="Yes"/>
    <s v="Risk"/>
    <x v="0"/>
    <s v="Wealth Creation"/>
    <s v="3-5 years"/>
    <s v="Monthly"/>
    <s v="20%-30%"/>
    <s v="Fixed Deposits"/>
    <x v="1"/>
    <s v="Capital Appreciation"/>
    <s v="Fund Diversification"/>
    <s v="Assured Returns"/>
    <s v="Risk Free"/>
    <s v="Newspapers and Magazines"/>
  </r>
  <r>
    <x v="1"/>
    <n v="29"/>
    <x v="0"/>
    <x v="3"/>
    <x v="5"/>
    <n v="7"/>
    <n v="5"/>
    <n v="3"/>
    <n v="1"/>
    <n v="6"/>
    <s v="Yes"/>
    <s v="Returns"/>
    <x v="2"/>
    <s v="Wealth Creation"/>
    <s v="3-5 years"/>
    <s v="Weekly"/>
    <s v="20%-30%"/>
    <s v="Mutual Fund"/>
    <x v="0"/>
    <s v="Capital Appreciation"/>
    <s v="Better Returns"/>
    <s v="Assured Returns"/>
    <s v="Fixed Returns"/>
    <s v="Financial Consultants"/>
  </r>
  <r>
    <x v="0"/>
    <n v="24"/>
    <x v="0"/>
    <x v="3"/>
    <x v="5"/>
    <n v="5"/>
    <n v="6"/>
    <n v="3"/>
    <n v="1"/>
    <n v="7"/>
    <s v="Yes"/>
    <s v="Risk"/>
    <x v="0"/>
    <s v="Wealth Creation"/>
    <s v="3-5 years"/>
    <s v="Monthly"/>
    <s v="20%-30%"/>
    <s v="Equity"/>
    <x v="1"/>
    <s v="Capital Appreciation"/>
    <s v="Better Returns"/>
    <s v="Assured Returns"/>
    <s v="Risk Free"/>
    <s v="Newspapers and Magazines"/>
  </r>
  <r>
    <x v="1"/>
    <n v="27"/>
    <x v="0"/>
    <x v="2"/>
    <x v="5"/>
    <n v="6"/>
    <n v="5"/>
    <n v="2"/>
    <n v="1"/>
    <n v="7"/>
    <s v="Yes"/>
    <s v="Returns"/>
    <x v="0"/>
    <s v="Wealth Creation"/>
    <s v="3-5 years"/>
    <s v="Monthly"/>
    <s v="20%-30%"/>
    <s v="Mutual Fund"/>
    <x v="0"/>
    <s v="Capital Appreciation"/>
    <s v="Better Returns"/>
    <s v="Assured Returns"/>
    <s v="Risk Free"/>
    <s v="Financial Consultants"/>
  </r>
  <r>
    <x v="1"/>
    <n v="25"/>
    <x v="0"/>
    <x v="3"/>
    <x v="5"/>
    <n v="6"/>
    <n v="5"/>
    <n v="3"/>
    <n v="1"/>
    <n v="7"/>
    <s v="Yes"/>
    <s v="Risk"/>
    <x v="2"/>
    <s v="Savings for Future"/>
    <s v="3-5 years"/>
    <s v="Weekly"/>
    <s v="20%-30%"/>
    <s v="Public Provident Fund"/>
    <x v="1"/>
    <s v="Liquidity"/>
    <s v="Better Returns"/>
    <s v="Assured Returns"/>
    <s v="Risk Free"/>
    <s v="Financial Consultants"/>
  </r>
  <r>
    <x v="0"/>
    <n v="26"/>
    <x v="0"/>
    <x v="3"/>
    <x v="1"/>
    <n v="7"/>
    <n v="5"/>
    <n v="4"/>
    <n v="1"/>
    <n v="6"/>
    <s v="Yes"/>
    <s v="Returns"/>
    <x v="0"/>
    <s v="Wealth Creation"/>
    <s v="3-5 years"/>
    <s v="Monthly"/>
    <s v="30%-40%"/>
    <s v="Public Provident Fund"/>
    <x v="0"/>
    <s v="Capital Appreciation"/>
    <s v="Better Returns"/>
    <s v="Assured Returns"/>
    <s v="Risk Free"/>
    <s v="Newspapers and Magazines"/>
  </r>
  <r>
    <x v="0"/>
    <n v="32"/>
    <x v="0"/>
    <x v="2"/>
    <x v="5"/>
    <n v="7"/>
    <n v="5"/>
    <n v="1"/>
    <n v="2"/>
    <n v="6"/>
    <s v="Yes"/>
    <s v="Risk"/>
    <x v="2"/>
    <s v="Wealth Creation"/>
    <s v="3-5 years"/>
    <s v="Monthly"/>
    <s v="20%-30%"/>
    <s v="Mutual Fund"/>
    <x v="0"/>
    <s v="Capital Appreciation"/>
    <s v="Better Returns"/>
    <s v="Assured Returns"/>
    <s v="Fixed Returns"/>
    <s v="Financial Consultants"/>
  </r>
  <r>
    <x v="1"/>
    <n v="26"/>
    <x v="0"/>
    <x v="2"/>
    <x v="5"/>
    <n v="6"/>
    <n v="5"/>
    <n v="1"/>
    <n v="2"/>
    <n v="7"/>
    <s v="Yes"/>
    <s v="Returns"/>
    <x v="0"/>
    <s v="Wealth Creation"/>
    <s v="3-5 years"/>
    <s v="Monthly"/>
    <s v="20%-30%"/>
    <s v="Mutual Fund"/>
    <x v="0"/>
    <s v="Dividend"/>
    <s v="Fund Diversification"/>
    <s v="Assured Returns"/>
    <s v="Fixed Returns"/>
    <s v="Financial Consultants"/>
  </r>
  <r>
    <x v="1"/>
    <n v="31"/>
    <x v="0"/>
    <x v="3"/>
    <x v="1"/>
    <n v="7"/>
    <n v="6"/>
    <n v="4"/>
    <n v="1"/>
    <n v="5"/>
    <s v="Yes"/>
    <s v="Risk"/>
    <x v="2"/>
    <s v="Savings for Future"/>
    <s v="1-3 years"/>
    <s v="Monthly"/>
    <s v="20%-30%"/>
    <s v="Fixed Deposits"/>
    <x v="1"/>
    <s v="Capital Appreciation"/>
    <s v="Fund Diversification"/>
    <s v="Safe Investment"/>
    <s v="Fixed Returns"/>
    <s v="Television"/>
  </r>
  <r>
    <x v="1"/>
    <n v="29"/>
    <x v="0"/>
    <x v="3"/>
    <x v="1"/>
    <n v="6"/>
    <n v="5"/>
    <n v="1"/>
    <n v="4"/>
    <n v="7"/>
    <s v="Yes"/>
    <s v="Returns"/>
    <x v="0"/>
    <s v="Wealth Creation"/>
    <s v="1-3 years"/>
    <s v="Monthly"/>
    <s v="20%-30%"/>
    <s v="Equity"/>
    <x v="0"/>
    <s v="Capital Appreciation"/>
    <s v="Better Returns"/>
    <s v="Assured Returns"/>
    <s v="Risk Free"/>
    <s v="Television"/>
  </r>
  <r>
    <x v="0"/>
    <n v="34"/>
    <x v="0"/>
    <x v="5"/>
    <x v="5"/>
    <n v="3"/>
    <n v="2"/>
    <n v="7"/>
    <n v="1"/>
    <n v="6"/>
    <s v="Yes"/>
    <s v="Returns"/>
    <x v="1"/>
    <s v="Returns"/>
    <s v="3-5 years"/>
    <s v="Monthly"/>
    <s v="10%-20%"/>
    <s v="Mutual Fund"/>
    <x v="0"/>
    <s v="Capital Appreciation"/>
    <s v="Tax Benefits"/>
    <s v="Safe Investment"/>
    <s v="Fixed Returns"/>
    <s v="Newspapers and Magazines"/>
  </r>
  <r>
    <x v="1"/>
    <n v="27"/>
    <x v="0"/>
    <x v="1"/>
    <x v="4"/>
    <n v="1"/>
    <n v="2"/>
    <n v="7"/>
    <n v="3"/>
    <n v="6"/>
    <s v="No"/>
    <s v="Returns"/>
    <x v="2"/>
    <s v="Wealth Creation"/>
    <s v="1-3 years"/>
    <s v="Monthly"/>
    <s v="10%-20%"/>
    <s v="Mutual Fund"/>
    <x v="2"/>
    <s v="Capital Appreciation"/>
    <s v="Tax Benefits"/>
    <s v="Safe Investment"/>
    <s v="Fixed Returns"/>
    <s v="Television"/>
  </r>
  <r>
    <x v="0"/>
    <n v="31"/>
    <x v="0"/>
    <x v="3"/>
    <x v="5"/>
    <n v="7"/>
    <n v="6"/>
    <n v="3"/>
    <n v="1"/>
    <n v="5"/>
    <s v="Yes"/>
    <s v="Returns"/>
    <x v="0"/>
    <s v="Wealth Creation"/>
    <s v="3-5 years"/>
    <s v="Monthly"/>
    <s v="20%-30%"/>
    <s v="Fixed Deposits"/>
    <x v="0"/>
    <s v="Capital Appreciation"/>
    <s v="Better Returns"/>
    <s v="Assured Returns"/>
    <s v="Fixed Returns"/>
    <s v="Financial Consultants"/>
  </r>
  <r>
    <x v="1"/>
    <n v="27"/>
    <x v="0"/>
    <x v="3"/>
    <x v="5"/>
    <n v="7"/>
    <n v="5"/>
    <n v="1"/>
    <n v="3"/>
    <n v="6"/>
    <s v="Yes"/>
    <s v="Returns"/>
    <x v="0"/>
    <s v="Wealth Creation"/>
    <s v="3-5 years"/>
    <s v="Monthly"/>
    <s v="30%-40%"/>
    <s v="Equity"/>
    <x v="1"/>
    <s v="Capital Appreciation"/>
    <s v="Fund Diversification"/>
    <s v="Assured Returns"/>
    <s v="Fixed Returns"/>
    <s v="Newspapers and Magazines"/>
  </r>
  <r>
    <x v="1"/>
    <n v="26"/>
    <x v="0"/>
    <x v="3"/>
    <x v="1"/>
    <n v="6"/>
    <n v="4"/>
    <n v="1"/>
    <n v="5"/>
    <n v="7"/>
    <s v="Yes"/>
    <s v="Returns"/>
    <x v="0"/>
    <s v="Returns"/>
    <s v="1-3 years"/>
    <s v="Monthly"/>
    <s v="20%-30%"/>
    <s v="Fixed Deposits"/>
    <x v="2"/>
    <s v="Dividend"/>
    <s v="Better Returns"/>
    <s v="Safe Investment"/>
    <s v="Risk Free"/>
    <s v="Newspapers and Magazines"/>
  </r>
  <r>
    <x v="1"/>
    <n v="27"/>
    <x v="0"/>
    <x v="3"/>
    <x v="1"/>
    <n v="6"/>
    <n v="5"/>
    <n v="4"/>
    <n v="1"/>
    <n v="7"/>
    <s v="Yes"/>
    <s v="Returns"/>
    <x v="0"/>
    <s v="Wealth Creation"/>
    <s v="1-3 years"/>
    <s v="Weekly"/>
    <s v="20%-30%"/>
    <s v="Mutual Fund"/>
    <x v="1"/>
    <s v="Capital Appreciation"/>
    <s v="Better Returns"/>
    <s v="Safe Investment"/>
    <s v="Fixed Returns"/>
    <s v="Financial Consultants"/>
  </r>
  <r>
    <x v="1"/>
    <n v="30"/>
    <x v="0"/>
    <x v="0"/>
    <x v="5"/>
    <n v="6"/>
    <n v="5"/>
    <n v="3"/>
    <n v="2"/>
    <n v="7"/>
    <s v="Yes"/>
    <s v="Risk"/>
    <x v="2"/>
    <s v="Wealth Creation"/>
    <s v="3-5 years"/>
    <s v="Monthly"/>
    <s v="20%-30%"/>
    <s v="Fixed Deposits"/>
    <x v="1"/>
    <s v="Capital Appreciation"/>
    <s v="Better Returns"/>
    <s v="Assured Returns"/>
    <s v="Fixed Returns"/>
    <s v="Financial Consultants"/>
  </r>
  <r>
    <x v="1"/>
    <n v="30"/>
    <x v="0"/>
    <x v="3"/>
    <x v="5"/>
    <n v="7"/>
    <n v="5"/>
    <n v="1"/>
    <n v="3"/>
    <n v="6"/>
    <s v="Yes"/>
    <s v="Returns"/>
    <x v="0"/>
    <s v="Wealth Creation"/>
    <s v="1-3 years"/>
    <s v="Monthly"/>
    <s v="20%-30%"/>
    <s v="Equity"/>
    <x v="0"/>
    <s v="Capital Appreciation"/>
    <s v="Better Returns"/>
    <s v="Assured Returns"/>
    <s v="Risk Free"/>
    <s v="Newspapers and Magazines"/>
  </r>
  <r>
    <x v="1"/>
    <n v="25"/>
    <x v="0"/>
    <x v="5"/>
    <x v="5"/>
    <n v="7"/>
    <n v="6"/>
    <n v="1"/>
    <n v="2"/>
    <n v="3"/>
    <s v="Yes"/>
    <s v="Risk"/>
    <x v="2"/>
    <s v="Savings for Future"/>
    <s v="3-5 years"/>
    <s v="Monthly"/>
    <s v="30%-40%"/>
    <s v="Public Provident Fund"/>
    <x v="1"/>
    <s v="Capital Appreciation"/>
    <s v="Better Returns"/>
    <s v="Safe Investment"/>
    <s v="Fixed Returns"/>
    <s v="Financial Consultants"/>
  </r>
  <r>
    <x v="1"/>
    <n v="31"/>
    <x v="0"/>
    <x v="3"/>
    <x v="5"/>
    <n v="7"/>
    <n v="5"/>
    <n v="3"/>
    <n v="1"/>
    <n v="6"/>
    <s v="Yes"/>
    <s v="Risk"/>
    <x v="2"/>
    <s v="Wealth Creation"/>
    <s v="1-3 years"/>
    <s v="Weekly"/>
    <s v="20%-30%"/>
    <s v="Equity"/>
    <x v="1"/>
    <s v="Dividend"/>
    <s v="Fund Diversification"/>
    <s v="Assured Returns"/>
    <s v="Fixed Returns"/>
    <s v="Newspapers and Magazines"/>
  </r>
  <r>
    <x v="1"/>
    <n v="29"/>
    <x v="0"/>
    <x v="1"/>
    <x v="1"/>
    <n v="5"/>
    <n v="7"/>
    <n v="2"/>
    <n v="1"/>
    <n v="6"/>
    <s v="Yes"/>
    <s v="Returns"/>
    <x v="0"/>
    <s v="Wealth Creation"/>
    <s v="3-5 years"/>
    <s v="Monthly"/>
    <s v="20%-30%"/>
    <s v="Fixed Deposits"/>
    <x v="0"/>
    <s v="Dividend"/>
    <s v="Better Returns"/>
    <s v="Safe Investment"/>
    <s v="Fixed Returns"/>
    <s v="Financial Consultants"/>
  </r>
  <r>
    <x v="2"/>
    <m/>
    <x v="2"/>
    <x v="6"/>
    <x v="6"/>
    <n v="230"/>
    <n v="186"/>
    <n v="143"/>
    <n v="81"/>
    <n v="239"/>
    <m/>
    <m/>
    <x v="3"/>
    <m/>
    <m/>
    <m/>
    <m/>
    <m/>
    <x v="3"/>
    <m/>
    <m/>
    <m/>
    <m/>
    <m/>
  </r>
  <r>
    <x v="2"/>
    <m/>
    <x v="2"/>
    <x v="7"/>
    <x v="7"/>
    <m/>
    <m/>
    <m/>
    <m/>
    <m/>
    <m/>
    <m/>
    <x v="3"/>
    <m/>
    <m/>
    <m/>
    <m/>
    <m/>
    <x v="3"/>
    <m/>
    <m/>
    <m/>
    <m/>
    <m/>
  </r>
  <r>
    <x v="2"/>
    <m/>
    <x v="2"/>
    <x v="7"/>
    <x v="7"/>
    <m/>
    <m/>
    <m/>
    <m/>
    <m/>
    <m/>
    <m/>
    <x v="3"/>
    <m/>
    <m/>
    <m/>
    <m/>
    <m/>
    <x v="3"/>
    <m/>
    <m/>
    <m/>
    <m/>
    <m/>
  </r>
  <r>
    <x v="2"/>
    <m/>
    <x v="2"/>
    <x v="7"/>
    <x v="7"/>
    <m/>
    <m/>
    <m/>
    <m/>
    <m/>
    <m/>
    <m/>
    <x v="3"/>
    <m/>
    <m/>
    <m/>
    <m/>
    <m/>
    <x v="3"/>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Female"/>
    <n v="34"/>
    <s v="Yes"/>
    <n v="1"/>
    <n v="2"/>
    <n v="5"/>
    <n v="3"/>
    <n v="7"/>
    <n v="6"/>
    <n v="4"/>
    <s v="Yes"/>
    <s v="Returns"/>
    <s v="Capital Appreciation"/>
    <s v="Wealth Creation"/>
    <s v="1-3 years"/>
    <s v="Monthly"/>
    <s v="20%-30%"/>
    <s v="Mutual Fund"/>
    <s v="Retirement Plan"/>
    <s v="Capital Appreciation"/>
    <s v="Better Returns"/>
    <s v="Safe Investment"/>
    <s v="Fixed Returns"/>
    <s v="Newspapers and Magazines"/>
    <x v="0"/>
  </r>
  <r>
    <s v="Female"/>
    <n v="23"/>
    <s v="Yes"/>
    <n v="4"/>
    <n v="3"/>
    <n v="2"/>
    <n v="1"/>
    <n v="5"/>
    <n v="6"/>
    <n v="7"/>
    <s v="No"/>
    <s v="Locking Period"/>
    <s v="Capital Appreciation"/>
    <s v="Wealth Creation"/>
    <s v="More than 5 years"/>
    <s v="Weekly"/>
    <s v="20%-30%"/>
    <s v="Mutual Fund"/>
    <s v="Health Care"/>
    <s v="Dividend"/>
    <s v="Better Returns"/>
    <s v="Safe Investment"/>
    <s v="High Interest Rates"/>
    <s v="Financial Consultants"/>
    <x v="1"/>
  </r>
  <r>
    <s v="Male"/>
    <n v="30"/>
    <s v="Yes"/>
    <n v="3"/>
    <n v="6"/>
    <n v="4"/>
    <n v="2"/>
    <n v="5"/>
    <n v="1"/>
    <n v="7"/>
    <s v="Yes"/>
    <s v="Returns"/>
    <s v="Capital Appreciation"/>
    <s v="Wealth Creation"/>
    <s v="3-5 years"/>
    <s v="Daily"/>
    <s v="20%-30%"/>
    <s v="Equity"/>
    <s v="Retirement Plan"/>
    <s v="Capital Appreciation"/>
    <s v="Tax Benefits"/>
    <s v="Assured Returns"/>
    <s v="Fixed Returns"/>
    <s v="Television"/>
    <x v="2"/>
  </r>
  <r>
    <s v="Male"/>
    <n v="22"/>
    <s v="Yes"/>
    <n v="2"/>
    <n v="1"/>
    <n v="3"/>
    <n v="7"/>
    <n v="6"/>
    <n v="4"/>
    <n v="5"/>
    <s v="Yes"/>
    <s v="Returns"/>
    <s v="Income"/>
    <s v="Wealth Creation"/>
    <s v="Less than 1 year"/>
    <s v="Daily"/>
    <s v="10%-20%"/>
    <s v="Equity"/>
    <s v="Retirement Plan"/>
    <s v="Dividend"/>
    <s v="Fund Diversification"/>
    <s v="Tax Incentives"/>
    <s v="High Interest Rates"/>
    <s v="Internet"/>
    <x v="1"/>
  </r>
  <r>
    <s v="Female"/>
    <n v="24"/>
    <s v="No"/>
    <n v="2"/>
    <n v="1"/>
    <n v="3"/>
    <n v="6"/>
    <n v="4"/>
    <n v="5"/>
    <n v="7"/>
    <s v="No"/>
    <s v="Returns"/>
    <s v="Income"/>
    <s v="Wealth Creation"/>
    <s v="Less than 1 year"/>
    <s v="Daily"/>
    <s v="20%-30%"/>
    <s v="Equity"/>
    <s v="Retirement Plan"/>
    <s v="Capital Appreciation"/>
    <s v="Better Returns"/>
    <s v="Safe Investment"/>
    <s v="Risk Free"/>
    <s v="Internet"/>
    <x v="1"/>
  </r>
  <r>
    <s v="Female"/>
    <n v="24"/>
    <s v="No"/>
    <n v="7"/>
    <n v="5"/>
    <n v="4"/>
    <n v="6"/>
    <n v="3"/>
    <n v="1"/>
    <n v="2"/>
    <s v="No"/>
    <s v="Risk"/>
    <s v="Capital Appreciation"/>
    <s v="Wealth Creation"/>
    <s v="1-3 years"/>
    <s v="Daily"/>
    <s v="30%-40%"/>
    <s v="Mutual Fund"/>
    <s v="Retirement Plan"/>
    <s v="Liquidity"/>
    <s v="Fund Diversification"/>
    <s v="Safe Investment"/>
    <s v="Risk Free"/>
    <s v="Internet"/>
    <x v="1"/>
  </r>
  <r>
    <s v="Female"/>
    <n v="27"/>
    <s v="Yes"/>
    <n v="3"/>
    <n v="6"/>
    <n v="4"/>
    <n v="2"/>
    <n v="5"/>
    <n v="1"/>
    <n v="7"/>
    <s v="Yes"/>
    <s v="Returns"/>
    <s v="Capital Appreciation"/>
    <s v="Wealth Creation"/>
    <s v="3-5 years"/>
    <s v="Monthly"/>
    <s v="20%-30%"/>
    <s v="Equity"/>
    <s v="Retirement Plan"/>
    <s v="Capital Appreciation"/>
    <s v="Better Returns"/>
    <s v="Assured Returns"/>
    <s v="High Interest Rates"/>
    <s v="Financial Consultants"/>
    <x v="2"/>
  </r>
  <r>
    <s v="Male"/>
    <n v="21"/>
    <s v="Yes"/>
    <n v="2"/>
    <n v="3"/>
    <n v="7"/>
    <n v="4"/>
    <n v="6"/>
    <n v="1"/>
    <n v="5"/>
    <s v="Yes"/>
    <s v="Risk"/>
    <s v="Capital Appreciation"/>
    <s v="Wealth Creation"/>
    <s v="3-5 years"/>
    <s v="Monthly"/>
    <s v="20%-30%"/>
    <s v="Mutual Fund"/>
    <s v="Retirement Plan"/>
    <s v="Capital Appreciation"/>
    <s v="Better Returns"/>
    <s v="Assured Returns"/>
    <s v="Risk Free"/>
    <s v="Newspapers and Magazines"/>
    <x v="1"/>
  </r>
  <r>
    <s v="Male"/>
    <n v="35"/>
    <s v="Yes"/>
    <n v="2"/>
    <n v="4"/>
    <n v="7"/>
    <n v="5"/>
    <n v="3"/>
    <n v="1"/>
    <n v="6"/>
    <s v="Yes"/>
    <s v="Returns"/>
    <s v="Growth"/>
    <s v="Savings for Future"/>
    <s v="1-3 years"/>
    <s v="Weekly"/>
    <s v="20%-30%"/>
    <s v="Equity"/>
    <s v="Retirement Plan"/>
    <s v="Capital Appreciation"/>
    <s v="Fund Diversification"/>
    <s v="Safe Investment"/>
    <s v="Fixed Returns"/>
    <s v="Television"/>
    <x v="0"/>
  </r>
  <r>
    <s v="Male"/>
    <n v="31"/>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x v="0"/>
  </r>
  <r>
    <s v="Female"/>
    <n v="35"/>
    <s v="Yes"/>
    <n v="2"/>
    <n v="4"/>
    <n v="7"/>
    <n v="5"/>
    <n v="3"/>
    <n v="1"/>
    <n v="6"/>
    <s v="Yes"/>
    <s v="Risk"/>
    <s v="Growth"/>
    <s v="Savings for Future"/>
    <s v="3-5 years"/>
    <s v="Monthly"/>
    <s v="20%-30%"/>
    <s v="Mutual Fund"/>
    <s v="Retirement Plan"/>
    <s v="Capital Appreciation"/>
    <s v="Better Returns"/>
    <s v="Assured Returns"/>
    <s v="Risk Free"/>
    <s v="Financial Consultants"/>
    <x v="0"/>
  </r>
  <r>
    <s v="Male"/>
    <n v="29"/>
    <s v="Yes"/>
    <n v="2"/>
    <n v="5"/>
    <n v="7"/>
    <n v="6"/>
    <n v="3"/>
    <n v="1"/>
    <n v="4"/>
    <s v="Yes"/>
    <s v="Risk"/>
    <s v="Capital Appreciation"/>
    <s v="Wealth Creation"/>
    <s v="1-3 years"/>
    <s v="Monthly"/>
    <s v="20%-30%"/>
    <s v="Mutual Fund"/>
    <s v="Retirement Plan"/>
    <s v="Capital Appreciation"/>
    <s v="Fund Diversification"/>
    <s v="Assured Returns"/>
    <s v="Fixed Returns"/>
    <s v="Financial Consultants"/>
    <x v="2"/>
  </r>
  <r>
    <s v="Female"/>
    <n v="21"/>
    <s v="No"/>
    <n v="1"/>
    <n v="2"/>
    <n v="3"/>
    <n v="4"/>
    <n v="5"/>
    <n v="6"/>
    <n v="7"/>
    <s v="No"/>
    <s v="Returns"/>
    <s v="Capital Appreciation"/>
    <s v="Savings for Future"/>
    <s v="1-3 years"/>
    <s v="Weekly"/>
    <s v="20%-30%"/>
    <s v="Mutual Fund"/>
    <s v="Education"/>
    <s v="Dividend"/>
    <s v="Better Returns"/>
    <s v="Safe Investment"/>
    <s v="Risk Free"/>
    <s v="Internet"/>
    <x v="1"/>
  </r>
  <r>
    <s v="Female"/>
    <n v="28"/>
    <s v="Yes"/>
    <n v="2"/>
    <n v="3"/>
    <n v="7"/>
    <n v="4"/>
    <n v="5"/>
    <n v="1"/>
    <n v="6"/>
    <s v="Yes"/>
    <s v="Returns"/>
    <s v="Capital Appreciation"/>
    <s v="Wealth Creation"/>
    <s v="1-3 years"/>
    <s v="Monthly"/>
    <s v="20%-30%"/>
    <s v="Mutual Fund"/>
    <s v="Retirement Plan"/>
    <s v="Capital Appreciation"/>
    <s v="Fund Diversification"/>
    <s v="Assured Returns"/>
    <s v="Risk Free"/>
    <s v="Newspapers and Magazines"/>
    <x v="2"/>
  </r>
  <r>
    <s v="Female"/>
    <n v="25"/>
    <s v="Yes"/>
    <n v="2"/>
    <n v="3"/>
    <n v="7"/>
    <n v="5"/>
    <n v="4"/>
    <n v="1"/>
    <n v="6"/>
    <s v="Yes"/>
    <s v="Returns"/>
    <s v="Capital Appreciation"/>
    <s v="Wealth Creation"/>
    <s v="1-3 years"/>
    <s v="Monthly"/>
    <s v="20%-30%"/>
    <s v="Fixed Deposits"/>
    <s v="Health Care"/>
    <s v="Dividend"/>
    <s v="Better Returns"/>
    <s v="Assured Returns"/>
    <s v="Risk Free"/>
    <s v="Financial Consultants"/>
    <x v="1"/>
  </r>
  <r>
    <s v="Male"/>
    <n v="27"/>
    <s v="Yes"/>
    <n v="2"/>
    <n v="3"/>
    <n v="7"/>
    <n v="5"/>
    <n v="4"/>
    <n v="1"/>
    <n v="6"/>
    <s v="Yes"/>
    <s v="Returns"/>
    <s v="Capital Appreciation"/>
    <s v="Wealth Creation"/>
    <s v="1-3 years"/>
    <s v="Monthly"/>
    <s v="20%-30%"/>
    <s v="Mutual Fund"/>
    <s v="Health Care"/>
    <s v="Capital Appreciation"/>
    <s v="Fund Diversification"/>
    <s v="Assured Returns"/>
    <s v="Risk Free"/>
    <s v="Newspapers and Magazines"/>
    <x v="2"/>
  </r>
  <r>
    <s v="Female"/>
    <n v="28"/>
    <s v="Yes"/>
    <n v="3"/>
    <n v="2"/>
    <n v="7"/>
    <n v="5"/>
    <n v="4"/>
    <n v="1"/>
    <n v="6"/>
    <s v="Yes"/>
    <s v="Risk"/>
    <s v="Growth"/>
    <s v="Wealth Creation"/>
    <s v="1-3 years"/>
    <s v="Monthly"/>
    <s v="20%-30%"/>
    <s v="Fixed Deposits"/>
    <s v="Health Care"/>
    <s v="Capital Appreciation"/>
    <s v="Fund Diversification"/>
    <s v="Assured Returns"/>
    <s v="Risk Free"/>
    <s v="Television"/>
    <x v="2"/>
  </r>
  <r>
    <s v="Male"/>
    <n v="27"/>
    <s v="Yes"/>
    <n v="3"/>
    <n v="2"/>
    <n v="7"/>
    <n v="4"/>
    <n v="5"/>
    <n v="1"/>
    <n v="6"/>
    <s v="Yes"/>
    <s v="Returns"/>
    <s v="Capital Appreciation"/>
    <s v="Wealth Creation"/>
    <s v="1-3 years"/>
    <s v="Monthly"/>
    <s v="20%-30%"/>
    <s v="Mutual Fund"/>
    <s v="Retirement Plan"/>
    <s v="Capital Appreciation"/>
    <s v="Better Returns"/>
    <s v="Assured Returns"/>
    <s v="Risk Free"/>
    <s v="Financial Consultants"/>
    <x v="2"/>
  </r>
  <r>
    <s v="Male"/>
    <n v="29"/>
    <s v="Yes"/>
    <n v="3"/>
    <n v="2"/>
    <n v="7"/>
    <n v="4"/>
    <n v="5"/>
    <n v="1"/>
    <n v="6"/>
    <s v="Yes"/>
    <s v="Risk"/>
    <s v="Capital Appreciation"/>
    <s v="Wealth Creation"/>
    <s v="1-3 years"/>
    <s v="Monthly"/>
    <s v="20%-30%"/>
    <s v="Mutual Fund"/>
    <s v="Retirement Plan"/>
    <s v="Capital Appreciation"/>
    <s v="Better Returns"/>
    <s v="Assured Returns"/>
    <s v="Risk Free"/>
    <s v="Newspapers and Magazines"/>
    <x v="2"/>
  </r>
  <r>
    <s v="Male"/>
    <n v="26"/>
    <s v="Yes"/>
    <n v="3"/>
    <n v="4"/>
    <n v="6"/>
    <n v="5"/>
    <n v="1"/>
    <n v="2"/>
    <n v="7"/>
    <s v="Yes"/>
    <s v="Risk"/>
    <s v="Capital Appreciation"/>
    <s v="Wealth Creation"/>
    <s v="3-5 years"/>
    <s v="Monthly"/>
    <s v="20%-30%"/>
    <s v="Fixed Deposits"/>
    <s v="Health Care"/>
    <s v="Capital Appreciation"/>
    <s v="Fund Diversification"/>
    <s v="Assured Returns"/>
    <s v="Risk Free"/>
    <s v="Newspapers and Magazines"/>
    <x v="2"/>
  </r>
  <r>
    <s v="Male"/>
    <n v="29"/>
    <s v="Yes"/>
    <n v="2"/>
    <n v="4"/>
    <n v="7"/>
    <n v="5"/>
    <n v="3"/>
    <n v="1"/>
    <n v="6"/>
    <s v="Yes"/>
    <s v="Returns"/>
    <s v="Growth"/>
    <s v="Wealth Creation"/>
    <s v="3-5 years"/>
    <s v="Weekly"/>
    <s v="20%-30%"/>
    <s v="Mutual Fund"/>
    <s v="Retirement Plan"/>
    <s v="Capital Appreciation"/>
    <s v="Better Returns"/>
    <s v="Assured Returns"/>
    <s v="Fixed Returns"/>
    <s v="Financial Consultants"/>
    <x v="2"/>
  </r>
  <r>
    <s v="Female"/>
    <n v="24"/>
    <s v="Yes"/>
    <n v="2"/>
    <n v="4"/>
    <n v="5"/>
    <n v="6"/>
    <n v="3"/>
    <n v="1"/>
    <n v="7"/>
    <s v="Yes"/>
    <s v="Risk"/>
    <s v="Capital Appreciation"/>
    <s v="Wealth Creation"/>
    <s v="3-5 years"/>
    <s v="Monthly"/>
    <s v="20%-30%"/>
    <s v="Equity"/>
    <s v="Health Care"/>
    <s v="Capital Appreciation"/>
    <s v="Better Returns"/>
    <s v="Assured Returns"/>
    <s v="Risk Free"/>
    <s v="Newspapers and Magazines"/>
    <x v="1"/>
  </r>
  <r>
    <s v="Male"/>
    <n v="27"/>
    <s v="Yes"/>
    <n v="3"/>
    <n v="4"/>
    <n v="6"/>
    <n v="5"/>
    <n v="2"/>
    <n v="1"/>
    <n v="7"/>
    <s v="Yes"/>
    <s v="Returns"/>
    <s v="Capital Appreciation"/>
    <s v="Wealth Creation"/>
    <s v="3-5 years"/>
    <s v="Monthly"/>
    <s v="20%-30%"/>
    <s v="Mutual Fund"/>
    <s v="Retirement Plan"/>
    <s v="Capital Appreciation"/>
    <s v="Better Returns"/>
    <s v="Assured Returns"/>
    <s v="Risk Free"/>
    <s v="Financial Consultants"/>
    <x v="2"/>
  </r>
  <r>
    <s v="Male"/>
    <n v="25"/>
    <s v="Yes"/>
    <n v="2"/>
    <n v="4"/>
    <n v="6"/>
    <n v="5"/>
    <n v="3"/>
    <n v="1"/>
    <n v="7"/>
    <s v="Yes"/>
    <s v="Risk"/>
    <s v="Growth"/>
    <s v="Savings for Future"/>
    <s v="3-5 years"/>
    <s v="Weekly"/>
    <s v="20%-30%"/>
    <s v="Public Provident Fund"/>
    <s v="Health Care"/>
    <s v="Liquidity"/>
    <s v="Better Returns"/>
    <s v="Assured Returns"/>
    <s v="Risk Free"/>
    <s v="Financial Consultants"/>
    <x v="1"/>
  </r>
  <r>
    <s v="Female"/>
    <n v="26"/>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x v="2"/>
  </r>
  <r>
    <s v="Female"/>
    <n v="32"/>
    <s v="Yes"/>
    <n v="3"/>
    <n v="4"/>
    <n v="7"/>
    <n v="5"/>
    <n v="1"/>
    <n v="2"/>
    <n v="6"/>
    <s v="Yes"/>
    <s v="Risk"/>
    <s v="Growth"/>
    <s v="Wealth Creation"/>
    <s v="3-5 years"/>
    <s v="Monthly"/>
    <s v="20%-30%"/>
    <s v="Mutual Fund"/>
    <s v="Retirement Plan"/>
    <s v="Capital Appreciation"/>
    <s v="Better Returns"/>
    <s v="Assured Returns"/>
    <s v="Fixed Returns"/>
    <s v="Financial Consultants"/>
    <x v="0"/>
  </r>
  <r>
    <s v="Male"/>
    <n v="26"/>
    <s v="Yes"/>
    <n v="3"/>
    <n v="4"/>
    <n v="6"/>
    <n v="5"/>
    <n v="1"/>
    <n v="2"/>
    <n v="7"/>
    <s v="Yes"/>
    <s v="Returns"/>
    <s v="Capital Appreciation"/>
    <s v="Wealth Creation"/>
    <s v="3-5 years"/>
    <s v="Monthly"/>
    <s v="20%-30%"/>
    <s v="Mutual Fund"/>
    <s v="Retirement Plan"/>
    <s v="Dividend"/>
    <s v="Fund Diversification"/>
    <s v="Assured Returns"/>
    <s v="Fixed Returns"/>
    <s v="Financial Consultants"/>
    <x v="2"/>
  </r>
  <r>
    <s v="Male"/>
    <n v="31"/>
    <s v="Yes"/>
    <n v="2"/>
    <n v="3"/>
    <n v="7"/>
    <n v="6"/>
    <n v="4"/>
    <n v="1"/>
    <n v="5"/>
    <s v="Yes"/>
    <s v="Risk"/>
    <s v="Growth"/>
    <s v="Savings for Future"/>
    <s v="1-3 years"/>
    <s v="Monthly"/>
    <s v="20%-30%"/>
    <s v="Fixed Deposits"/>
    <s v="Health Care"/>
    <s v="Capital Appreciation"/>
    <s v="Fund Diversification"/>
    <s v="Safe Investment"/>
    <s v="Fixed Returns"/>
    <s v="Television"/>
    <x v="0"/>
  </r>
  <r>
    <s v="Male"/>
    <n v="29"/>
    <s v="Yes"/>
    <n v="2"/>
    <n v="3"/>
    <n v="6"/>
    <n v="5"/>
    <n v="1"/>
    <n v="4"/>
    <n v="7"/>
    <s v="Yes"/>
    <s v="Returns"/>
    <s v="Capital Appreciation"/>
    <s v="Wealth Creation"/>
    <s v="1-3 years"/>
    <s v="Monthly"/>
    <s v="20%-30%"/>
    <s v="Equity"/>
    <s v="Retirement Plan"/>
    <s v="Capital Appreciation"/>
    <s v="Better Returns"/>
    <s v="Assured Returns"/>
    <s v="Risk Free"/>
    <s v="Television"/>
    <x v="2"/>
  </r>
  <r>
    <s v="Female"/>
    <n v="34"/>
    <s v="Yes"/>
    <n v="5"/>
    <n v="4"/>
    <n v="3"/>
    <n v="2"/>
    <n v="7"/>
    <n v="1"/>
    <n v="6"/>
    <s v="Yes"/>
    <s v="Returns"/>
    <s v="Income"/>
    <s v="Returns"/>
    <s v="3-5 years"/>
    <s v="Monthly"/>
    <s v="10%-20%"/>
    <s v="Mutual Fund"/>
    <s v="Retirement Plan"/>
    <s v="Capital Appreciation"/>
    <s v="Tax Benefits"/>
    <s v="Safe Investment"/>
    <s v="Fixed Returns"/>
    <s v="Newspapers and Magazines"/>
    <x v="0"/>
  </r>
  <r>
    <s v="Male"/>
    <n v="27"/>
    <s v="Yes"/>
    <n v="4"/>
    <n v="5"/>
    <n v="1"/>
    <n v="2"/>
    <n v="7"/>
    <n v="3"/>
    <n v="6"/>
    <s v="No"/>
    <s v="Returns"/>
    <s v="Growth"/>
    <s v="Wealth Creation"/>
    <s v="1-3 years"/>
    <s v="Monthly"/>
    <s v="10%-20%"/>
    <s v="Mutual Fund"/>
    <s v="Education"/>
    <s v="Capital Appreciation"/>
    <s v="Tax Benefits"/>
    <s v="Safe Investment"/>
    <s v="Fixed Returns"/>
    <s v="Television"/>
    <x v="2"/>
  </r>
  <r>
    <s v="Female"/>
    <n v="31"/>
    <s v="Yes"/>
    <n v="2"/>
    <n v="4"/>
    <n v="7"/>
    <n v="6"/>
    <n v="3"/>
    <n v="1"/>
    <n v="5"/>
    <s v="Yes"/>
    <s v="Returns"/>
    <s v="Capital Appreciation"/>
    <s v="Wealth Creation"/>
    <s v="3-5 years"/>
    <s v="Monthly"/>
    <s v="20%-30%"/>
    <s v="Fixed Deposits"/>
    <s v="Retirement Plan"/>
    <s v="Capital Appreciation"/>
    <s v="Better Returns"/>
    <s v="Assured Returns"/>
    <s v="Fixed Returns"/>
    <s v="Financial Consultants"/>
    <x v="0"/>
  </r>
  <r>
    <s v="Male"/>
    <n v="27"/>
    <s v="Yes"/>
    <n v="2"/>
    <n v="4"/>
    <n v="7"/>
    <n v="5"/>
    <n v="1"/>
    <n v="3"/>
    <n v="6"/>
    <s v="Yes"/>
    <s v="Returns"/>
    <s v="Capital Appreciation"/>
    <s v="Wealth Creation"/>
    <s v="3-5 years"/>
    <s v="Monthly"/>
    <s v="30%-40%"/>
    <s v="Equity"/>
    <s v="Health Care"/>
    <s v="Capital Appreciation"/>
    <s v="Fund Diversification"/>
    <s v="Assured Returns"/>
    <s v="Fixed Returns"/>
    <s v="Newspapers and Magazines"/>
    <x v="2"/>
  </r>
  <r>
    <s v="Male"/>
    <n v="26"/>
    <s v="Yes"/>
    <n v="2"/>
    <n v="3"/>
    <n v="6"/>
    <n v="4"/>
    <n v="1"/>
    <n v="5"/>
    <n v="7"/>
    <s v="Yes"/>
    <s v="Returns"/>
    <s v="Capital Appreciation"/>
    <s v="Returns"/>
    <s v="1-3 years"/>
    <s v="Monthly"/>
    <s v="20%-30%"/>
    <s v="Fixed Deposits"/>
    <s v="Education"/>
    <s v="Dividend"/>
    <s v="Better Returns"/>
    <s v="Safe Investment"/>
    <s v="Risk Free"/>
    <s v="Newspapers and Magazines"/>
    <x v="2"/>
  </r>
  <r>
    <s v="Male"/>
    <n v="27"/>
    <s v="Yes"/>
    <n v="2"/>
    <n v="3"/>
    <n v="6"/>
    <n v="5"/>
    <n v="4"/>
    <n v="1"/>
    <n v="7"/>
    <s v="Yes"/>
    <s v="Returns"/>
    <s v="Capital Appreciation"/>
    <s v="Wealth Creation"/>
    <s v="1-3 years"/>
    <s v="Weekly"/>
    <s v="20%-30%"/>
    <s v="Mutual Fund"/>
    <s v="Health Care"/>
    <s v="Capital Appreciation"/>
    <s v="Better Returns"/>
    <s v="Safe Investment"/>
    <s v="Fixed Returns"/>
    <s v="Financial Consultants"/>
    <x v="2"/>
  </r>
  <r>
    <s v="Male"/>
    <n v="30"/>
    <s v="Yes"/>
    <n v="1"/>
    <n v="4"/>
    <n v="6"/>
    <n v="5"/>
    <n v="3"/>
    <n v="2"/>
    <n v="7"/>
    <s v="Yes"/>
    <s v="Risk"/>
    <s v="Growth"/>
    <s v="Wealth Creation"/>
    <s v="3-5 years"/>
    <s v="Monthly"/>
    <s v="20%-30%"/>
    <s v="Fixed Deposits"/>
    <s v="Health Care"/>
    <s v="Capital Appreciation"/>
    <s v="Better Returns"/>
    <s v="Assured Returns"/>
    <s v="Fixed Returns"/>
    <s v="Financial Consultants"/>
    <x v="2"/>
  </r>
  <r>
    <s v="Male"/>
    <n v="30"/>
    <s v="Yes"/>
    <n v="2"/>
    <n v="4"/>
    <n v="7"/>
    <n v="5"/>
    <n v="1"/>
    <n v="3"/>
    <n v="6"/>
    <s v="Yes"/>
    <s v="Returns"/>
    <s v="Capital Appreciation"/>
    <s v="Wealth Creation"/>
    <s v="1-3 years"/>
    <s v="Monthly"/>
    <s v="20%-30%"/>
    <s v="Equity"/>
    <s v="Retirement Plan"/>
    <s v="Capital Appreciation"/>
    <s v="Better Returns"/>
    <s v="Assured Returns"/>
    <s v="Risk Free"/>
    <s v="Newspapers and Magazines"/>
    <x v="2"/>
  </r>
  <r>
    <s v="Male"/>
    <n v="25"/>
    <s v="Yes"/>
    <n v="5"/>
    <n v="4"/>
    <n v="7"/>
    <n v="6"/>
    <n v="1"/>
    <n v="2"/>
    <n v="3"/>
    <s v="Yes"/>
    <s v="Risk"/>
    <s v="Growth"/>
    <s v="Savings for Future"/>
    <s v="3-5 years"/>
    <s v="Monthly"/>
    <s v="30%-40%"/>
    <s v="Public Provident Fund"/>
    <s v="Health Care"/>
    <s v="Capital Appreciation"/>
    <s v="Better Returns"/>
    <s v="Safe Investment"/>
    <s v="Fixed Returns"/>
    <s v="Financial Consultants"/>
    <x v="1"/>
  </r>
  <r>
    <s v="Male"/>
    <n v="31"/>
    <s v="Yes"/>
    <n v="2"/>
    <n v="4"/>
    <n v="7"/>
    <n v="5"/>
    <n v="3"/>
    <n v="1"/>
    <n v="6"/>
    <s v="Yes"/>
    <s v="Risk"/>
    <s v="Growth"/>
    <s v="Wealth Creation"/>
    <s v="1-3 years"/>
    <s v="Weekly"/>
    <s v="20%-30%"/>
    <s v="Equity"/>
    <s v="Health Care"/>
    <s v="Dividend"/>
    <s v="Fund Diversification"/>
    <s v="Assured Returns"/>
    <s v="Fixed Returns"/>
    <s v="Newspapers and Magazines"/>
    <x v="0"/>
  </r>
  <r>
    <s v="Male"/>
    <n v="29"/>
    <s v="Yes"/>
    <n v="4"/>
    <n v="3"/>
    <n v="5"/>
    <n v="7"/>
    <n v="2"/>
    <n v="1"/>
    <n v="6"/>
    <s v="Yes"/>
    <s v="Returns"/>
    <s v="Capital Appreciation"/>
    <s v="Wealth Creation"/>
    <s v="3-5 years"/>
    <s v="Monthly"/>
    <s v="20%-30%"/>
    <s v="Fixed Deposits"/>
    <s v="Retirement Plan"/>
    <s v="Dividend"/>
    <s v="Better Returns"/>
    <s v="Safe Investment"/>
    <s v="Fixed Returns"/>
    <s v="Financial Consultants"/>
    <x v="2"/>
  </r>
  <r>
    <m/>
    <m/>
    <m/>
    <n v="102"/>
    <n v="139"/>
    <n v="230"/>
    <n v="186"/>
    <n v="143"/>
    <n v="81"/>
    <n v="239"/>
    <m/>
    <m/>
    <m/>
    <m/>
    <m/>
    <m/>
    <m/>
    <m/>
    <m/>
    <m/>
    <m/>
    <m/>
    <m/>
    <m/>
    <x v="3"/>
  </r>
  <r>
    <m/>
    <m/>
    <m/>
    <m/>
    <m/>
    <m/>
    <m/>
    <m/>
    <m/>
    <m/>
    <m/>
    <m/>
    <m/>
    <m/>
    <m/>
    <m/>
    <m/>
    <m/>
    <m/>
    <m/>
    <m/>
    <m/>
    <m/>
    <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s v="Yes"/>
    <n v="1"/>
    <n v="2"/>
    <n v="5"/>
    <n v="3"/>
    <n v="7"/>
    <n v="6"/>
    <n v="4"/>
    <s v="Yes"/>
    <s v="Returns"/>
    <s v="Capital Appreciation"/>
    <s v="Wealth Creation"/>
    <x v="0"/>
    <s v="Monthly"/>
    <s v="20%-30%"/>
    <s v="Mutual Fund"/>
    <s v="Retirement Plan"/>
    <s v="Capital Appreciation"/>
    <s v="Better Returns"/>
    <s v="Safe Investment"/>
    <s v="Fixed Returns"/>
    <s v="Newspapers and Magazines"/>
    <s v="30-40"/>
    <s v="yes"/>
  </r>
  <r>
    <x v="0"/>
    <x v="1"/>
    <s v="Yes"/>
    <n v="4"/>
    <n v="3"/>
    <n v="2"/>
    <n v="1"/>
    <n v="5"/>
    <n v="6"/>
    <n v="7"/>
    <s v="No"/>
    <s v="Locking Period"/>
    <s v="Capital Appreciation"/>
    <s v="Wealth Creation"/>
    <x v="1"/>
    <s v="Weekly"/>
    <s v="20%-30%"/>
    <s v="Mutual Fund"/>
    <s v="Health Care"/>
    <s v="Dividend"/>
    <s v="Better Returns"/>
    <s v="Safe Investment"/>
    <s v="High Interest Rates"/>
    <s v="Financial Consultants"/>
    <s v="20-30"/>
    <s v="yes"/>
  </r>
  <r>
    <x v="1"/>
    <x v="2"/>
    <s v="Yes"/>
    <n v="3"/>
    <n v="6"/>
    <n v="4"/>
    <n v="2"/>
    <n v="5"/>
    <n v="1"/>
    <n v="7"/>
    <s v="Yes"/>
    <s v="Returns"/>
    <s v="Capital Appreciation"/>
    <s v="Wealth Creation"/>
    <x v="2"/>
    <s v="Daily"/>
    <s v="20%-30%"/>
    <s v="Equity"/>
    <s v="Retirement Plan"/>
    <s v="Capital Appreciation"/>
    <s v="Tax Benefits"/>
    <s v="Assured Returns"/>
    <s v="Fixed Returns"/>
    <s v="Television"/>
    <s v="20-30"/>
    <s v="no"/>
  </r>
  <r>
    <x v="1"/>
    <x v="3"/>
    <s v="Yes"/>
    <n v="2"/>
    <n v="1"/>
    <n v="3"/>
    <n v="7"/>
    <n v="6"/>
    <n v="4"/>
    <n v="5"/>
    <s v="Yes"/>
    <s v="Returns"/>
    <s v="Income"/>
    <s v="Wealth Creation"/>
    <x v="3"/>
    <s v="Daily"/>
    <s v="10%-20%"/>
    <s v="Equity"/>
    <s v="Retirement Plan"/>
    <s v="Dividend"/>
    <s v="Fund Diversification"/>
    <s v="Tax Incentives"/>
    <s v="High Interest Rates"/>
    <s v="Internet"/>
    <s v="20-30"/>
    <s v="yes"/>
  </r>
  <r>
    <x v="0"/>
    <x v="4"/>
    <s v="No"/>
    <n v="2"/>
    <n v="1"/>
    <n v="3"/>
    <n v="6"/>
    <n v="4"/>
    <n v="5"/>
    <n v="7"/>
    <s v="No"/>
    <s v="Returns"/>
    <s v="Income"/>
    <s v="Wealth Creation"/>
    <x v="3"/>
    <s v="Daily"/>
    <s v="20%-30%"/>
    <s v="Equity"/>
    <s v="Retirement Plan"/>
    <s v="Capital Appreciation"/>
    <s v="Better Returns"/>
    <s v="Safe Investment"/>
    <s v="Risk Free"/>
    <s v="Internet"/>
    <s v="20-30"/>
    <s v="yes"/>
  </r>
  <r>
    <x v="0"/>
    <x v="4"/>
    <s v="No"/>
    <n v="7"/>
    <n v="5"/>
    <n v="4"/>
    <n v="6"/>
    <n v="3"/>
    <n v="1"/>
    <n v="2"/>
    <s v="No"/>
    <s v="Risk"/>
    <s v="Capital Appreciation"/>
    <s v="Wealth Creation"/>
    <x v="0"/>
    <s v="Daily"/>
    <s v="30%-40%"/>
    <s v="Mutual Fund"/>
    <s v="Retirement Plan"/>
    <s v="Liquidity"/>
    <s v="Fund Diversification"/>
    <s v="Safe Investment"/>
    <s v="Risk Free"/>
    <s v="Internet"/>
    <s v="20-30"/>
    <s v="yes"/>
  </r>
  <r>
    <x v="0"/>
    <x v="5"/>
    <s v="Yes"/>
    <n v="3"/>
    <n v="6"/>
    <n v="4"/>
    <n v="2"/>
    <n v="5"/>
    <n v="1"/>
    <n v="7"/>
    <s v="Yes"/>
    <s v="Returns"/>
    <s v="Capital Appreciation"/>
    <s v="Wealth Creation"/>
    <x v="2"/>
    <s v="Monthly"/>
    <s v="20%-30%"/>
    <s v="Equity"/>
    <s v="Retirement Plan"/>
    <s v="Capital Appreciation"/>
    <s v="Better Returns"/>
    <s v="Assured Returns"/>
    <s v="High Interest Rates"/>
    <s v="Financial Consultants"/>
    <s v="20-30"/>
    <s v="no"/>
  </r>
  <r>
    <x v="1"/>
    <x v="6"/>
    <s v="Yes"/>
    <n v="2"/>
    <n v="3"/>
    <n v="7"/>
    <n v="4"/>
    <n v="6"/>
    <n v="1"/>
    <n v="5"/>
    <s v="Yes"/>
    <s v="Risk"/>
    <s v="Capital Appreciation"/>
    <s v="Wealth Creation"/>
    <x v="2"/>
    <s v="Monthly"/>
    <s v="20%-30%"/>
    <s v="Mutual Fund"/>
    <s v="Retirement Plan"/>
    <s v="Capital Appreciation"/>
    <s v="Better Returns"/>
    <s v="Assured Returns"/>
    <s v="Risk Free"/>
    <s v="Newspapers and Magazines"/>
    <s v="20-30"/>
    <s v="yes"/>
  </r>
  <r>
    <x v="1"/>
    <x v="7"/>
    <s v="Yes"/>
    <n v="2"/>
    <n v="4"/>
    <n v="7"/>
    <n v="5"/>
    <n v="3"/>
    <n v="1"/>
    <n v="6"/>
    <s v="Yes"/>
    <s v="Returns"/>
    <s v="Growth"/>
    <s v="Savings for Future"/>
    <x v="0"/>
    <s v="Weekly"/>
    <s v="20%-30%"/>
    <s v="Equity"/>
    <s v="Retirement Plan"/>
    <s v="Capital Appreciation"/>
    <s v="Fund Diversification"/>
    <s v="Safe Investment"/>
    <s v="Fixed Returns"/>
    <s v="Television"/>
    <s v="30-40"/>
    <s v="no"/>
  </r>
  <r>
    <x v="1"/>
    <x v="8"/>
    <s v="Yes"/>
    <n v="1"/>
    <n v="3"/>
    <n v="7"/>
    <n v="4"/>
    <n v="5"/>
    <n v="2"/>
    <n v="6"/>
    <s v="Yes"/>
    <s v="Returns"/>
    <s v="Capital Appreciation"/>
    <s v="Wealth Creation"/>
    <x v="2"/>
    <s v="Monthly"/>
    <s v="30%-40%"/>
    <s v="Fixed Deposits"/>
    <s v="Retirement Plan"/>
    <s v="Capital Appreciation"/>
    <s v="Fund Diversification"/>
    <s v="Assured Returns"/>
    <s v="Fixed Returns"/>
    <s v="Newspapers and Magazines"/>
    <s v="30-40"/>
    <s v="no"/>
  </r>
  <r>
    <x v="0"/>
    <x v="7"/>
    <s v="Yes"/>
    <n v="2"/>
    <n v="4"/>
    <n v="7"/>
    <n v="5"/>
    <n v="3"/>
    <n v="1"/>
    <n v="6"/>
    <s v="Yes"/>
    <s v="Risk"/>
    <s v="Growth"/>
    <s v="Savings for Future"/>
    <x v="2"/>
    <s v="Monthly"/>
    <s v="20%-30%"/>
    <s v="Mutual Fund"/>
    <s v="Retirement Plan"/>
    <s v="Capital Appreciation"/>
    <s v="Better Returns"/>
    <s v="Assured Returns"/>
    <s v="Risk Free"/>
    <s v="Financial Consultants"/>
    <s v="30-40"/>
    <s v="no"/>
  </r>
  <r>
    <x v="1"/>
    <x v="9"/>
    <s v="Yes"/>
    <n v="2"/>
    <n v="5"/>
    <n v="7"/>
    <n v="6"/>
    <n v="3"/>
    <n v="1"/>
    <n v="4"/>
    <s v="Yes"/>
    <s v="Risk"/>
    <s v="Capital Appreciation"/>
    <s v="Wealth Creation"/>
    <x v="0"/>
    <s v="Monthly"/>
    <s v="20%-30%"/>
    <s v="Mutual Fund"/>
    <s v="Retirement Plan"/>
    <s v="Capital Appreciation"/>
    <s v="Fund Diversification"/>
    <s v="Assured Returns"/>
    <s v="Fixed Returns"/>
    <s v="Financial Consultants"/>
    <s v="20-30"/>
    <s v="yes"/>
  </r>
  <r>
    <x v="0"/>
    <x v="6"/>
    <s v="No"/>
    <n v="1"/>
    <n v="2"/>
    <n v="3"/>
    <n v="4"/>
    <n v="5"/>
    <n v="6"/>
    <n v="7"/>
    <s v="No"/>
    <s v="Returns"/>
    <s v="Capital Appreciation"/>
    <s v="Savings for Future"/>
    <x v="0"/>
    <s v="Weekly"/>
    <s v="20%-30%"/>
    <s v="Mutual Fund"/>
    <s v="Education"/>
    <s v="Dividend"/>
    <s v="Better Returns"/>
    <s v="Safe Investment"/>
    <s v="Risk Free"/>
    <s v="Internet"/>
    <s v="20-30"/>
    <s v="yes"/>
  </r>
  <r>
    <x v="0"/>
    <x v="10"/>
    <s v="Yes"/>
    <n v="2"/>
    <n v="3"/>
    <n v="7"/>
    <n v="4"/>
    <n v="5"/>
    <n v="1"/>
    <n v="6"/>
    <s v="Yes"/>
    <s v="Returns"/>
    <s v="Capital Appreciation"/>
    <s v="Wealth Creation"/>
    <x v="0"/>
    <s v="Monthly"/>
    <s v="20%-30%"/>
    <s v="Mutual Fund"/>
    <s v="Retirement Plan"/>
    <s v="Capital Appreciation"/>
    <s v="Fund Diversification"/>
    <s v="Assured Returns"/>
    <s v="Risk Free"/>
    <s v="Newspapers and Magazines"/>
    <s v="20-30"/>
    <s v="no"/>
  </r>
  <r>
    <x v="0"/>
    <x v="11"/>
    <s v="Yes"/>
    <n v="2"/>
    <n v="3"/>
    <n v="7"/>
    <n v="5"/>
    <n v="4"/>
    <n v="1"/>
    <n v="6"/>
    <s v="Yes"/>
    <s v="Returns"/>
    <s v="Capital Appreciation"/>
    <s v="Wealth Creation"/>
    <x v="0"/>
    <s v="Monthly"/>
    <s v="20%-30%"/>
    <s v="Fixed Deposits"/>
    <s v="Health Care"/>
    <s v="Dividend"/>
    <s v="Better Returns"/>
    <s v="Assured Returns"/>
    <s v="Risk Free"/>
    <s v="Financial Consultants"/>
    <s v="20-30"/>
    <s v="no"/>
  </r>
  <r>
    <x v="1"/>
    <x v="5"/>
    <s v="Yes"/>
    <n v="2"/>
    <n v="3"/>
    <n v="7"/>
    <n v="5"/>
    <n v="4"/>
    <n v="1"/>
    <n v="6"/>
    <s v="Yes"/>
    <s v="Returns"/>
    <s v="Capital Appreciation"/>
    <s v="Wealth Creation"/>
    <x v="0"/>
    <s v="Monthly"/>
    <s v="20%-30%"/>
    <s v="Mutual Fund"/>
    <s v="Health Care"/>
    <s v="Capital Appreciation"/>
    <s v="Fund Diversification"/>
    <s v="Assured Returns"/>
    <s v="Risk Free"/>
    <s v="Newspapers and Magazines"/>
    <s v="20-30"/>
    <s v="no"/>
  </r>
  <r>
    <x v="0"/>
    <x v="10"/>
    <s v="Yes"/>
    <n v="3"/>
    <n v="2"/>
    <n v="7"/>
    <n v="5"/>
    <n v="4"/>
    <n v="1"/>
    <n v="6"/>
    <s v="Yes"/>
    <s v="Risk"/>
    <s v="Growth"/>
    <s v="Wealth Creation"/>
    <x v="0"/>
    <s v="Monthly"/>
    <s v="20%-30%"/>
    <s v="Fixed Deposits"/>
    <s v="Health Care"/>
    <s v="Capital Appreciation"/>
    <s v="Fund Diversification"/>
    <s v="Assured Returns"/>
    <s v="Risk Free"/>
    <s v="Television"/>
    <s v="20-30"/>
    <s v="no"/>
  </r>
  <r>
    <x v="1"/>
    <x v="5"/>
    <s v="Yes"/>
    <n v="3"/>
    <n v="2"/>
    <n v="7"/>
    <n v="4"/>
    <n v="5"/>
    <n v="1"/>
    <n v="6"/>
    <s v="Yes"/>
    <s v="Returns"/>
    <s v="Capital Appreciation"/>
    <s v="Wealth Creation"/>
    <x v="0"/>
    <s v="Monthly"/>
    <s v="20%-30%"/>
    <s v="Mutual Fund"/>
    <s v="Retirement Plan"/>
    <s v="Capital Appreciation"/>
    <s v="Better Returns"/>
    <s v="Assured Returns"/>
    <s v="Risk Free"/>
    <s v="Financial Consultants"/>
    <s v="20-30"/>
    <s v="no"/>
  </r>
  <r>
    <x v="1"/>
    <x v="9"/>
    <s v="Yes"/>
    <n v="3"/>
    <n v="2"/>
    <n v="7"/>
    <n v="4"/>
    <n v="5"/>
    <n v="1"/>
    <n v="6"/>
    <s v="Yes"/>
    <s v="Risk"/>
    <s v="Capital Appreciation"/>
    <s v="Wealth Creation"/>
    <x v="0"/>
    <s v="Monthly"/>
    <s v="20%-30%"/>
    <s v="Mutual Fund"/>
    <s v="Retirement Plan"/>
    <s v="Capital Appreciation"/>
    <s v="Better Returns"/>
    <s v="Assured Returns"/>
    <s v="Risk Free"/>
    <s v="Newspapers and Magazines"/>
    <s v="20-30"/>
    <s v="no"/>
  </r>
  <r>
    <x v="1"/>
    <x v="12"/>
    <s v="Yes"/>
    <n v="3"/>
    <n v="4"/>
    <n v="6"/>
    <n v="5"/>
    <n v="1"/>
    <n v="2"/>
    <n v="7"/>
    <s v="Yes"/>
    <s v="Risk"/>
    <s v="Capital Appreciation"/>
    <s v="Wealth Creation"/>
    <x v="2"/>
    <s v="Monthly"/>
    <s v="20%-30%"/>
    <s v="Fixed Deposits"/>
    <s v="Health Care"/>
    <s v="Capital Appreciation"/>
    <s v="Fund Diversification"/>
    <s v="Assured Returns"/>
    <s v="Risk Free"/>
    <s v="Newspapers and Magazines"/>
    <s v="20-30"/>
    <s v="no"/>
  </r>
  <r>
    <x v="1"/>
    <x v="9"/>
    <s v="Yes"/>
    <n v="2"/>
    <n v="4"/>
    <n v="7"/>
    <n v="5"/>
    <n v="3"/>
    <n v="1"/>
    <n v="6"/>
    <s v="Yes"/>
    <s v="Returns"/>
    <s v="Growth"/>
    <s v="Wealth Creation"/>
    <x v="2"/>
    <s v="Weekly"/>
    <s v="20%-30%"/>
    <s v="Mutual Fund"/>
    <s v="Retirement Plan"/>
    <s v="Capital Appreciation"/>
    <s v="Better Returns"/>
    <s v="Assured Returns"/>
    <s v="Fixed Returns"/>
    <s v="Financial Consultants"/>
    <s v="20-30"/>
    <s v="no"/>
  </r>
  <r>
    <x v="0"/>
    <x v="4"/>
    <s v="Yes"/>
    <n v="2"/>
    <n v="4"/>
    <n v="5"/>
    <n v="6"/>
    <n v="3"/>
    <n v="1"/>
    <n v="7"/>
    <s v="Yes"/>
    <s v="Risk"/>
    <s v="Capital Appreciation"/>
    <s v="Wealth Creation"/>
    <x v="2"/>
    <s v="Monthly"/>
    <s v="20%-30%"/>
    <s v="Equity"/>
    <s v="Health Care"/>
    <s v="Capital Appreciation"/>
    <s v="Better Returns"/>
    <s v="Assured Returns"/>
    <s v="Risk Free"/>
    <s v="Newspapers and Magazines"/>
    <s v="20-30"/>
    <s v="yes"/>
  </r>
  <r>
    <x v="1"/>
    <x v="5"/>
    <s v="Yes"/>
    <n v="3"/>
    <n v="4"/>
    <n v="6"/>
    <n v="5"/>
    <n v="2"/>
    <n v="1"/>
    <n v="7"/>
    <s v="Yes"/>
    <s v="Returns"/>
    <s v="Capital Appreciation"/>
    <s v="Wealth Creation"/>
    <x v="2"/>
    <s v="Monthly"/>
    <s v="20%-30%"/>
    <s v="Mutual Fund"/>
    <s v="Retirement Plan"/>
    <s v="Capital Appreciation"/>
    <s v="Better Returns"/>
    <s v="Assured Returns"/>
    <s v="Risk Free"/>
    <s v="Financial Consultants"/>
    <s v="20-30"/>
    <s v="no"/>
  </r>
  <r>
    <x v="1"/>
    <x v="11"/>
    <s v="Yes"/>
    <n v="2"/>
    <n v="4"/>
    <n v="6"/>
    <n v="5"/>
    <n v="3"/>
    <n v="1"/>
    <n v="7"/>
    <s v="Yes"/>
    <s v="Risk"/>
    <s v="Growth"/>
    <s v="Savings for Future"/>
    <x v="2"/>
    <s v="Weekly"/>
    <s v="20%-30%"/>
    <s v="Public Provident Fund"/>
    <s v="Health Care"/>
    <s v="Liquidity"/>
    <s v="Better Returns"/>
    <s v="Assured Returns"/>
    <s v="Risk Free"/>
    <s v="Financial Consultants"/>
    <s v="20-30"/>
    <s v="no"/>
  </r>
  <r>
    <x v="0"/>
    <x v="12"/>
    <s v="Yes"/>
    <n v="2"/>
    <n v="3"/>
    <n v="7"/>
    <n v="5"/>
    <n v="4"/>
    <n v="1"/>
    <n v="6"/>
    <s v="Yes"/>
    <s v="Returns"/>
    <s v="Capital Appreciation"/>
    <s v="Wealth Creation"/>
    <x v="2"/>
    <s v="Monthly"/>
    <s v="30%-40%"/>
    <s v="Public Provident Fund"/>
    <s v="Retirement Plan"/>
    <s v="Capital Appreciation"/>
    <s v="Better Returns"/>
    <s v="Assured Returns"/>
    <s v="Risk Free"/>
    <s v="Newspapers and Magazines"/>
    <s v="20-30"/>
    <s v="no"/>
  </r>
  <r>
    <x v="0"/>
    <x v="13"/>
    <s v="Yes"/>
    <n v="3"/>
    <n v="4"/>
    <n v="7"/>
    <n v="5"/>
    <n v="1"/>
    <n v="2"/>
    <n v="6"/>
    <s v="Yes"/>
    <s v="Risk"/>
    <s v="Growth"/>
    <s v="Wealth Creation"/>
    <x v="2"/>
    <s v="Monthly"/>
    <s v="20%-30%"/>
    <s v="Mutual Fund"/>
    <s v="Retirement Plan"/>
    <s v="Capital Appreciation"/>
    <s v="Better Returns"/>
    <s v="Assured Returns"/>
    <s v="Fixed Returns"/>
    <s v="Financial Consultants"/>
    <s v="30-40"/>
    <s v="no"/>
  </r>
  <r>
    <x v="1"/>
    <x v="12"/>
    <s v="Yes"/>
    <n v="3"/>
    <n v="4"/>
    <n v="6"/>
    <n v="5"/>
    <n v="1"/>
    <n v="2"/>
    <n v="7"/>
    <s v="Yes"/>
    <s v="Returns"/>
    <s v="Capital Appreciation"/>
    <s v="Wealth Creation"/>
    <x v="2"/>
    <s v="Monthly"/>
    <s v="20%-30%"/>
    <s v="Mutual Fund"/>
    <s v="Retirement Plan"/>
    <s v="Dividend"/>
    <s v="Fund Diversification"/>
    <s v="Assured Returns"/>
    <s v="Fixed Returns"/>
    <s v="Financial Consultants"/>
    <s v="20-30"/>
    <s v="no"/>
  </r>
  <r>
    <x v="1"/>
    <x v="8"/>
    <s v="Yes"/>
    <n v="2"/>
    <n v="3"/>
    <n v="7"/>
    <n v="6"/>
    <n v="4"/>
    <n v="1"/>
    <n v="5"/>
    <s v="Yes"/>
    <s v="Risk"/>
    <s v="Growth"/>
    <s v="Savings for Future"/>
    <x v="0"/>
    <s v="Monthly"/>
    <s v="20%-30%"/>
    <s v="Fixed Deposits"/>
    <s v="Health Care"/>
    <s v="Capital Appreciation"/>
    <s v="Fund Diversification"/>
    <s v="Safe Investment"/>
    <s v="Fixed Returns"/>
    <s v="Television"/>
    <s v="30-40"/>
    <s v="yes"/>
  </r>
  <r>
    <x v="1"/>
    <x v="9"/>
    <s v="Yes"/>
    <n v="2"/>
    <n v="3"/>
    <n v="6"/>
    <n v="5"/>
    <n v="1"/>
    <n v="4"/>
    <n v="7"/>
    <s v="Yes"/>
    <s v="Returns"/>
    <s v="Capital Appreciation"/>
    <s v="Wealth Creation"/>
    <x v="0"/>
    <s v="Monthly"/>
    <s v="20%-30%"/>
    <s v="Equity"/>
    <s v="Retirement Plan"/>
    <s v="Capital Appreciation"/>
    <s v="Better Returns"/>
    <s v="Assured Returns"/>
    <s v="Risk Free"/>
    <s v="Television"/>
    <s v="20-30"/>
    <s v="no"/>
  </r>
  <r>
    <x v="0"/>
    <x v="0"/>
    <s v="Yes"/>
    <n v="5"/>
    <n v="4"/>
    <n v="3"/>
    <n v="2"/>
    <n v="7"/>
    <n v="1"/>
    <n v="6"/>
    <s v="Yes"/>
    <s v="Returns"/>
    <s v="Income"/>
    <s v="Returns"/>
    <x v="2"/>
    <s v="Monthly"/>
    <s v="10%-20%"/>
    <s v="Mutual Fund"/>
    <s v="Retirement Plan"/>
    <s v="Capital Appreciation"/>
    <s v="Tax Benefits"/>
    <s v="Safe Investment"/>
    <s v="Fixed Returns"/>
    <s v="Newspapers and Magazines"/>
    <s v="30-40"/>
    <s v="yes"/>
  </r>
  <r>
    <x v="1"/>
    <x v="5"/>
    <s v="Yes"/>
    <n v="4"/>
    <n v="5"/>
    <n v="1"/>
    <n v="2"/>
    <n v="7"/>
    <n v="3"/>
    <n v="6"/>
    <s v="No"/>
    <s v="Returns"/>
    <s v="Growth"/>
    <s v="Wealth Creation"/>
    <x v="0"/>
    <s v="Monthly"/>
    <s v="10%-20%"/>
    <s v="Mutual Fund"/>
    <s v="Education"/>
    <s v="Capital Appreciation"/>
    <s v="Tax Benefits"/>
    <s v="Safe Investment"/>
    <s v="Fixed Returns"/>
    <s v="Television"/>
    <s v="20-30"/>
    <s v="yes"/>
  </r>
  <r>
    <x v="0"/>
    <x v="8"/>
    <s v="Yes"/>
    <n v="2"/>
    <n v="4"/>
    <n v="7"/>
    <n v="6"/>
    <n v="3"/>
    <n v="1"/>
    <n v="5"/>
    <s v="Yes"/>
    <s v="Returns"/>
    <s v="Capital Appreciation"/>
    <s v="Wealth Creation"/>
    <x v="2"/>
    <s v="Monthly"/>
    <s v="20%-30%"/>
    <s v="Fixed Deposits"/>
    <s v="Retirement Plan"/>
    <s v="Capital Appreciation"/>
    <s v="Better Returns"/>
    <s v="Assured Returns"/>
    <s v="Fixed Returns"/>
    <s v="Financial Consultants"/>
    <s v="30-40"/>
    <s v="yes"/>
  </r>
  <r>
    <x v="1"/>
    <x v="5"/>
    <s v="Yes"/>
    <n v="2"/>
    <n v="4"/>
    <n v="7"/>
    <n v="5"/>
    <n v="1"/>
    <n v="3"/>
    <n v="6"/>
    <s v="Yes"/>
    <s v="Returns"/>
    <s v="Capital Appreciation"/>
    <s v="Wealth Creation"/>
    <x v="2"/>
    <s v="Monthly"/>
    <s v="30%-40%"/>
    <s v="Equity"/>
    <s v="Health Care"/>
    <s v="Capital Appreciation"/>
    <s v="Fund Diversification"/>
    <s v="Assured Returns"/>
    <s v="Fixed Returns"/>
    <s v="Newspapers and Magazines"/>
    <s v="20-30"/>
    <s v="no"/>
  </r>
  <r>
    <x v="1"/>
    <x v="12"/>
    <s v="Yes"/>
    <n v="2"/>
    <n v="3"/>
    <n v="6"/>
    <n v="4"/>
    <n v="1"/>
    <n v="5"/>
    <n v="7"/>
    <s v="Yes"/>
    <s v="Returns"/>
    <s v="Capital Appreciation"/>
    <s v="Returns"/>
    <x v="0"/>
    <s v="Monthly"/>
    <s v="20%-30%"/>
    <s v="Fixed Deposits"/>
    <s v="Education"/>
    <s v="Dividend"/>
    <s v="Better Returns"/>
    <s v="Safe Investment"/>
    <s v="Risk Free"/>
    <s v="Newspapers and Magazines"/>
    <s v="20-30"/>
    <s v="no"/>
  </r>
  <r>
    <x v="1"/>
    <x v="5"/>
    <s v="Yes"/>
    <n v="2"/>
    <n v="3"/>
    <n v="6"/>
    <n v="5"/>
    <n v="4"/>
    <n v="1"/>
    <n v="7"/>
    <s v="Yes"/>
    <s v="Returns"/>
    <s v="Capital Appreciation"/>
    <s v="Wealth Creation"/>
    <x v="0"/>
    <s v="Weekly"/>
    <s v="20%-30%"/>
    <s v="Mutual Fund"/>
    <s v="Health Care"/>
    <s v="Capital Appreciation"/>
    <s v="Better Returns"/>
    <s v="Safe Investment"/>
    <s v="Fixed Returns"/>
    <s v="Financial Consultants"/>
    <s v="20-30"/>
    <s v="no"/>
  </r>
  <r>
    <x v="1"/>
    <x v="2"/>
    <s v="Yes"/>
    <n v="1"/>
    <n v="4"/>
    <n v="6"/>
    <n v="5"/>
    <n v="3"/>
    <n v="2"/>
    <n v="7"/>
    <s v="Yes"/>
    <s v="Risk"/>
    <s v="Growth"/>
    <s v="Wealth Creation"/>
    <x v="2"/>
    <s v="Monthly"/>
    <s v="20%-30%"/>
    <s v="Fixed Deposits"/>
    <s v="Health Care"/>
    <s v="Capital Appreciation"/>
    <s v="Better Returns"/>
    <s v="Assured Returns"/>
    <s v="Fixed Returns"/>
    <s v="Financial Consultants"/>
    <s v="20-30"/>
    <s v="no"/>
  </r>
  <r>
    <x v="1"/>
    <x v="2"/>
    <s v="Yes"/>
    <n v="2"/>
    <n v="4"/>
    <n v="7"/>
    <n v="5"/>
    <n v="1"/>
    <n v="3"/>
    <n v="6"/>
    <s v="Yes"/>
    <s v="Returns"/>
    <s v="Capital Appreciation"/>
    <s v="Wealth Creation"/>
    <x v="0"/>
    <s v="Monthly"/>
    <s v="20%-30%"/>
    <s v="Equity"/>
    <s v="Retirement Plan"/>
    <s v="Capital Appreciation"/>
    <s v="Better Returns"/>
    <s v="Assured Returns"/>
    <s v="Risk Free"/>
    <s v="Newspapers and Magazines"/>
    <s v="20-30"/>
    <s v="no"/>
  </r>
  <r>
    <x v="1"/>
    <x v="11"/>
    <s v="Yes"/>
    <n v="5"/>
    <n v="4"/>
    <n v="7"/>
    <n v="6"/>
    <n v="1"/>
    <n v="2"/>
    <n v="3"/>
    <s v="Yes"/>
    <s v="Risk"/>
    <s v="Growth"/>
    <s v="Savings for Future"/>
    <x v="2"/>
    <s v="Monthly"/>
    <s v="30%-40%"/>
    <s v="Public Provident Fund"/>
    <s v="Health Care"/>
    <s v="Capital Appreciation"/>
    <s v="Better Returns"/>
    <s v="Safe Investment"/>
    <s v="Fixed Returns"/>
    <s v="Financial Consultants"/>
    <s v="20-30"/>
    <s v="yes"/>
  </r>
  <r>
    <x v="1"/>
    <x v="8"/>
    <s v="Yes"/>
    <n v="2"/>
    <n v="4"/>
    <n v="7"/>
    <n v="5"/>
    <n v="3"/>
    <n v="1"/>
    <n v="6"/>
    <s v="Yes"/>
    <s v="Risk"/>
    <s v="Growth"/>
    <s v="Wealth Creation"/>
    <x v="0"/>
    <s v="Weekly"/>
    <s v="20%-30%"/>
    <s v="Equity"/>
    <s v="Health Care"/>
    <s v="Dividend"/>
    <s v="Fund Diversification"/>
    <s v="Assured Returns"/>
    <s v="Fixed Returns"/>
    <s v="Newspapers and Magazines"/>
    <s v="30-40"/>
    <s v="no"/>
  </r>
  <r>
    <x v="1"/>
    <x v="9"/>
    <s v="Yes"/>
    <n v="4"/>
    <n v="3"/>
    <n v="5"/>
    <n v="7"/>
    <n v="2"/>
    <n v="1"/>
    <n v="6"/>
    <s v="Yes"/>
    <s v="Returns"/>
    <s v="Capital Appreciation"/>
    <s v="Wealth Creation"/>
    <x v="2"/>
    <s v="Monthly"/>
    <s v="20%-30%"/>
    <s v="Fixed Deposits"/>
    <s v="Retirement Plan"/>
    <s v="Dividend"/>
    <s v="Better Returns"/>
    <s v="Safe Investment"/>
    <s v="Fixed Returns"/>
    <s v="Financial Consultants"/>
    <s v="20-30"/>
    <s v="yes"/>
  </r>
  <r>
    <x v="2"/>
    <x v="14"/>
    <m/>
    <n v="102"/>
    <n v="139"/>
    <n v="230"/>
    <n v="186"/>
    <n v="143"/>
    <n v="81"/>
    <n v="239"/>
    <m/>
    <m/>
    <m/>
    <m/>
    <x v="4"/>
    <m/>
    <m/>
    <m/>
    <m/>
    <m/>
    <m/>
    <m/>
    <m/>
    <m/>
    <m/>
    <m/>
  </r>
  <r>
    <x v="2"/>
    <x v="14"/>
    <m/>
    <m/>
    <m/>
    <m/>
    <m/>
    <m/>
    <m/>
    <m/>
    <m/>
    <m/>
    <m/>
    <m/>
    <x v="4"/>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n v="34"/>
    <s v="Yes"/>
    <n v="1"/>
    <n v="2"/>
    <n v="5"/>
    <n v="3"/>
    <n v="7"/>
    <n v="6"/>
    <n v="4"/>
    <s v="Yes"/>
    <s v="Returns"/>
    <s v="Capital Appreciation"/>
    <s v="Wealth Creation"/>
    <s v="1-3 years"/>
    <s v="Monthly"/>
    <s v="20%-30%"/>
    <s v="Mutual Fund"/>
    <s v="Retirement Plan"/>
    <s v="Capital Appreciation"/>
    <s v="Better Returns"/>
    <s v="Safe Investment"/>
    <s v="Fixed Returns"/>
    <s v="Newspapers and Magazines"/>
    <s v="30-40"/>
    <s v="yes"/>
    <n v="25"/>
    <n v="8"/>
    <n v="14"/>
    <x v="0"/>
  </r>
  <r>
    <x v="0"/>
    <n v="23"/>
    <s v="Yes"/>
    <n v="4"/>
    <n v="3"/>
    <n v="2"/>
    <n v="1"/>
    <n v="5"/>
    <n v="6"/>
    <n v="7"/>
    <s v="No"/>
    <s v="Locking Period"/>
    <s v="Capital Appreciation"/>
    <s v="Wealth Creation"/>
    <s v="More than 5 years"/>
    <s v="Weekly"/>
    <s v="20%-30%"/>
    <s v="Mutual Fund"/>
    <s v="Health Care"/>
    <s v="Dividend"/>
    <s v="Better Returns"/>
    <s v="Safe Investment"/>
    <s v="High Interest Rates"/>
    <s v="Financial Consultants"/>
    <s v="20-30"/>
    <s v="yes"/>
    <n v="25"/>
    <n v="9"/>
    <n v="13"/>
    <x v="0"/>
  </r>
  <r>
    <x v="1"/>
    <n v="30"/>
    <s v="Yes"/>
    <n v="3"/>
    <n v="6"/>
    <n v="4"/>
    <n v="2"/>
    <n v="5"/>
    <n v="1"/>
    <n v="7"/>
    <s v="Yes"/>
    <s v="Returns"/>
    <s v="Capital Appreciation"/>
    <s v="Wealth Creation"/>
    <s v="3-5 years"/>
    <s v="Daily"/>
    <s v="20%-30%"/>
    <s v="Equity"/>
    <s v="Retirement Plan"/>
    <s v="Capital Appreciation"/>
    <s v="Tax Benefits"/>
    <s v="Assured Returns"/>
    <s v="Fixed Returns"/>
    <s v="Television"/>
    <s v="20-30"/>
    <s v="no"/>
    <n v="25"/>
    <n v="13"/>
    <n v="14"/>
    <x v="0"/>
  </r>
  <r>
    <x v="1"/>
    <n v="22"/>
    <s v="Yes"/>
    <n v="2"/>
    <n v="1"/>
    <n v="3"/>
    <n v="7"/>
    <n v="6"/>
    <n v="4"/>
    <n v="5"/>
    <s v="Yes"/>
    <s v="Returns"/>
    <s v="Income"/>
    <s v="Wealth Creation"/>
    <s v="Less than 1 year"/>
    <s v="Daily"/>
    <s v="10%-20%"/>
    <s v="Equity"/>
    <s v="Retirement Plan"/>
    <s v="Dividend"/>
    <s v="Fund Diversification"/>
    <s v="Tax Incentives"/>
    <s v="High Interest Rates"/>
    <s v="Internet"/>
    <s v="20-30"/>
    <s v="yes"/>
    <n v="15"/>
    <n v="6"/>
    <n v="18"/>
    <x v="0"/>
  </r>
  <r>
    <x v="0"/>
    <n v="24"/>
    <s v="No"/>
    <n v="2"/>
    <n v="1"/>
    <n v="3"/>
    <n v="6"/>
    <n v="4"/>
    <n v="5"/>
    <n v="7"/>
    <s v="No"/>
    <s v="Returns"/>
    <s v="Income"/>
    <s v="Wealth Creation"/>
    <s v="Less than 1 year"/>
    <s v="Daily"/>
    <s v="20%-30%"/>
    <s v="Equity"/>
    <s v="Retirement Plan"/>
    <s v="Capital Appreciation"/>
    <s v="Better Returns"/>
    <s v="Safe Investment"/>
    <s v="Risk Free"/>
    <s v="Internet"/>
    <s v="20-30"/>
    <s v="yes"/>
    <n v="25"/>
    <n v="6"/>
    <n v="17"/>
    <x v="0"/>
  </r>
  <r>
    <x v="0"/>
    <n v="24"/>
    <s v="No"/>
    <n v="7"/>
    <n v="5"/>
    <n v="4"/>
    <n v="6"/>
    <n v="3"/>
    <n v="1"/>
    <n v="2"/>
    <s v="No"/>
    <s v="Risk"/>
    <s v="Capital Appreciation"/>
    <s v="Wealth Creation"/>
    <s v="1-3 years"/>
    <s v="Daily"/>
    <s v="30%-40%"/>
    <s v="Mutual Fund"/>
    <s v="Retirement Plan"/>
    <s v="Liquidity"/>
    <s v="Fund Diversification"/>
    <s v="Safe Investment"/>
    <s v="Risk Free"/>
    <s v="Internet"/>
    <s v="20-30"/>
    <s v="yes"/>
    <n v="35"/>
    <n v="16"/>
    <n v="11"/>
    <x v="1"/>
  </r>
  <r>
    <x v="0"/>
    <n v="27"/>
    <s v="Yes"/>
    <n v="3"/>
    <n v="6"/>
    <n v="4"/>
    <n v="2"/>
    <n v="5"/>
    <n v="1"/>
    <n v="7"/>
    <s v="Yes"/>
    <s v="Returns"/>
    <s v="Capital Appreciation"/>
    <s v="Wealth Creation"/>
    <s v="3-5 years"/>
    <s v="Monthly"/>
    <s v="20%-30%"/>
    <s v="Equity"/>
    <s v="Retirement Plan"/>
    <s v="Capital Appreciation"/>
    <s v="Better Returns"/>
    <s v="Assured Returns"/>
    <s v="High Interest Rates"/>
    <s v="Financial Consultants"/>
    <s v="20-30"/>
    <s v="no"/>
    <n v="25"/>
    <n v="13"/>
    <n v="14"/>
    <x v="0"/>
  </r>
  <r>
    <x v="1"/>
    <n v="21"/>
    <s v="Yes"/>
    <n v="2"/>
    <n v="3"/>
    <n v="7"/>
    <n v="4"/>
    <n v="6"/>
    <n v="1"/>
    <n v="5"/>
    <s v="Yes"/>
    <s v="Risk"/>
    <s v="Capital Appreciation"/>
    <s v="Wealth Creation"/>
    <s v="3-5 years"/>
    <s v="Monthly"/>
    <s v="20%-30%"/>
    <s v="Mutual Fund"/>
    <s v="Retirement Plan"/>
    <s v="Capital Appreciation"/>
    <s v="Better Returns"/>
    <s v="Assured Returns"/>
    <s v="Risk Free"/>
    <s v="Newspapers and Magazines"/>
    <s v="20-30"/>
    <s v="yes"/>
    <n v="25"/>
    <n v="12"/>
    <n v="15"/>
    <x v="0"/>
  </r>
  <r>
    <x v="1"/>
    <n v="35"/>
    <s v="Yes"/>
    <n v="2"/>
    <n v="4"/>
    <n v="7"/>
    <n v="5"/>
    <n v="3"/>
    <n v="1"/>
    <n v="6"/>
    <s v="Yes"/>
    <s v="Returns"/>
    <s v="Growth"/>
    <s v="Savings for Future"/>
    <s v="1-3 years"/>
    <s v="Weekly"/>
    <s v="20%-30%"/>
    <s v="Equity"/>
    <s v="Retirement Plan"/>
    <s v="Capital Appreciation"/>
    <s v="Fund Diversification"/>
    <s v="Safe Investment"/>
    <s v="Fixed Returns"/>
    <s v="Television"/>
    <s v="30-40"/>
    <s v="no"/>
    <n v="25"/>
    <n v="13"/>
    <n v="14"/>
    <x v="0"/>
  </r>
  <r>
    <x v="1"/>
    <n v="31"/>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s v="30-40"/>
    <s v="no"/>
    <n v="35"/>
    <n v="11"/>
    <n v="15"/>
    <x v="0"/>
  </r>
  <r>
    <x v="0"/>
    <n v="35"/>
    <s v="Yes"/>
    <n v="2"/>
    <n v="4"/>
    <n v="7"/>
    <n v="5"/>
    <n v="3"/>
    <n v="1"/>
    <n v="6"/>
    <s v="Yes"/>
    <s v="Risk"/>
    <s v="Growth"/>
    <s v="Savings for Future"/>
    <s v="3-5 years"/>
    <s v="Monthly"/>
    <s v="20%-30%"/>
    <s v="Mutual Fund"/>
    <s v="Retirement Plan"/>
    <s v="Capital Appreciation"/>
    <s v="Better Returns"/>
    <s v="Assured Returns"/>
    <s v="Risk Free"/>
    <s v="Financial Consultants"/>
    <s v="30-40"/>
    <s v="no"/>
    <n v="25"/>
    <n v="13"/>
    <n v="14"/>
    <x v="0"/>
  </r>
  <r>
    <x v="1"/>
    <n v="29"/>
    <s v="Yes"/>
    <n v="2"/>
    <n v="5"/>
    <n v="7"/>
    <n v="6"/>
    <n v="3"/>
    <n v="1"/>
    <n v="4"/>
    <s v="Yes"/>
    <s v="Risk"/>
    <s v="Capital Appreciation"/>
    <s v="Wealth Creation"/>
    <s v="1-3 years"/>
    <s v="Monthly"/>
    <s v="20%-30%"/>
    <s v="Mutual Fund"/>
    <s v="Retirement Plan"/>
    <s v="Capital Appreciation"/>
    <s v="Fund Diversification"/>
    <s v="Assured Returns"/>
    <s v="Fixed Returns"/>
    <s v="Financial Consultants"/>
    <s v="20-30"/>
    <s v="yes"/>
    <n v="25"/>
    <n v="14"/>
    <n v="13"/>
    <x v="1"/>
  </r>
  <r>
    <x v="0"/>
    <n v="21"/>
    <s v="No"/>
    <n v="1"/>
    <n v="2"/>
    <n v="3"/>
    <n v="4"/>
    <n v="5"/>
    <n v="6"/>
    <n v="7"/>
    <s v="No"/>
    <s v="Returns"/>
    <s v="Capital Appreciation"/>
    <s v="Savings for Future"/>
    <s v="1-3 years"/>
    <s v="Weekly"/>
    <s v="20%-30%"/>
    <s v="Mutual Fund"/>
    <s v="Education"/>
    <s v="Dividend"/>
    <s v="Better Returns"/>
    <s v="Safe Investment"/>
    <s v="Risk Free"/>
    <s v="Internet"/>
    <s v="20-30"/>
    <s v="yes"/>
    <n v="25"/>
    <n v="6"/>
    <n v="16"/>
    <x v="0"/>
  </r>
  <r>
    <x v="0"/>
    <n v="28"/>
    <s v="Yes"/>
    <n v="2"/>
    <n v="3"/>
    <n v="7"/>
    <n v="4"/>
    <n v="5"/>
    <n v="1"/>
    <n v="6"/>
    <s v="Yes"/>
    <s v="Returns"/>
    <s v="Capital Appreciation"/>
    <s v="Wealth Creation"/>
    <s v="1-3 years"/>
    <s v="Monthly"/>
    <s v="20%-30%"/>
    <s v="Mutual Fund"/>
    <s v="Retirement Plan"/>
    <s v="Capital Appreciation"/>
    <s v="Fund Diversification"/>
    <s v="Assured Returns"/>
    <s v="Risk Free"/>
    <s v="Newspapers and Magazines"/>
    <s v="20-30"/>
    <s v="no"/>
    <n v="25"/>
    <n v="12"/>
    <n v="15"/>
    <x v="0"/>
  </r>
  <r>
    <x v="0"/>
    <n v="25"/>
    <s v="Yes"/>
    <n v="2"/>
    <n v="3"/>
    <n v="7"/>
    <n v="5"/>
    <n v="4"/>
    <n v="1"/>
    <n v="6"/>
    <s v="Yes"/>
    <s v="Returns"/>
    <s v="Capital Appreciation"/>
    <s v="Wealth Creation"/>
    <s v="1-3 years"/>
    <s v="Monthly"/>
    <s v="20%-30%"/>
    <s v="Fixed Deposits"/>
    <s v="Health Care"/>
    <s v="Dividend"/>
    <s v="Better Returns"/>
    <s v="Assured Returns"/>
    <s v="Risk Free"/>
    <s v="Financial Consultants"/>
    <s v="20-30"/>
    <s v="no"/>
    <n v="25"/>
    <n v="12"/>
    <n v="15"/>
    <x v="0"/>
  </r>
  <r>
    <x v="1"/>
    <n v="27"/>
    <s v="Yes"/>
    <n v="2"/>
    <n v="3"/>
    <n v="7"/>
    <n v="5"/>
    <n v="4"/>
    <n v="1"/>
    <n v="6"/>
    <s v="Yes"/>
    <s v="Returns"/>
    <s v="Capital Appreciation"/>
    <s v="Wealth Creation"/>
    <s v="1-3 years"/>
    <s v="Monthly"/>
    <s v="20%-30%"/>
    <s v="Mutual Fund"/>
    <s v="Health Care"/>
    <s v="Capital Appreciation"/>
    <s v="Fund Diversification"/>
    <s v="Assured Returns"/>
    <s v="Risk Free"/>
    <s v="Newspapers and Magazines"/>
    <s v="20-30"/>
    <s v="no"/>
    <n v="25"/>
    <n v="12"/>
    <n v="15"/>
    <x v="0"/>
  </r>
  <r>
    <x v="0"/>
    <n v="28"/>
    <s v="Yes"/>
    <n v="3"/>
    <n v="2"/>
    <n v="7"/>
    <n v="5"/>
    <n v="4"/>
    <n v="1"/>
    <n v="6"/>
    <s v="Yes"/>
    <s v="Risk"/>
    <s v="Growth"/>
    <s v="Wealth Creation"/>
    <s v="1-3 years"/>
    <s v="Monthly"/>
    <s v="20%-30%"/>
    <s v="Fixed Deposits"/>
    <s v="Health Care"/>
    <s v="Capital Appreciation"/>
    <s v="Fund Diversification"/>
    <s v="Assured Returns"/>
    <s v="Risk Free"/>
    <s v="Television"/>
    <s v="20-30"/>
    <s v="no"/>
    <n v="25"/>
    <n v="12"/>
    <n v="15"/>
    <x v="0"/>
  </r>
  <r>
    <x v="1"/>
    <n v="27"/>
    <s v="Yes"/>
    <n v="3"/>
    <n v="2"/>
    <n v="7"/>
    <n v="4"/>
    <n v="5"/>
    <n v="1"/>
    <n v="6"/>
    <s v="Yes"/>
    <s v="Returns"/>
    <s v="Capital Appreciation"/>
    <s v="Wealth Creation"/>
    <s v="1-3 years"/>
    <s v="Monthly"/>
    <s v="20%-30%"/>
    <s v="Mutual Fund"/>
    <s v="Retirement Plan"/>
    <s v="Capital Appreciation"/>
    <s v="Better Returns"/>
    <s v="Assured Returns"/>
    <s v="Risk Free"/>
    <s v="Financial Consultants"/>
    <s v="20-30"/>
    <s v="no"/>
    <n v="25"/>
    <n v="12"/>
    <n v="15"/>
    <x v="0"/>
  </r>
  <r>
    <x v="1"/>
    <n v="29"/>
    <s v="Yes"/>
    <n v="3"/>
    <n v="2"/>
    <n v="7"/>
    <n v="4"/>
    <n v="5"/>
    <n v="1"/>
    <n v="6"/>
    <s v="Yes"/>
    <s v="Risk"/>
    <s v="Capital Appreciation"/>
    <s v="Wealth Creation"/>
    <s v="1-3 years"/>
    <s v="Monthly"/>
    <s v="20%-30%"/>
    <s v="Mutual Fund"/>
    <s v="Retirement Plan"/>
    <s v="Capital Appreciation"/>
    <s v="Better Returns"/>
    <s v="Assured Returns"/>
    <s v="Risk Free"/>
    <s v="Newspapers and Magazines"/>
    <s v="20-30"/>
    <s v="no"/>
    <n v="25"/>
    <n v="12"/>
    <n v="15"/>
    <x v="0"/>
  </r>
  <r>
    <x v="1"/>
    <n v="26"/>
    <s v="Yes"/>
    <n v="3"/>
    <n v="4"/>
    <n v="6"/>
    <n v="5"/>
    <n v="1"/>
    <n v="2"/>
    <n v="7"/>
    <s v="Yes"/>
    <s v="Risk"/>
    <s v="Capital Appreciation"/>
    <s v="Wealth Creation"/>
    <s v="3-5 years"/>
    <s v="Monthly"/>
    <s v="20%-30%"/>
    <s v="Fixed Deposits"/>
    <s v="Health Care"/>
    <s v="Capital Appreciation"/>
    <s v="Fund Diversification"/>
    <s v="Assured Returns"/>
    <s v="Risk Free"/>
    <s v="Newspapers and Magazines"/>
    <s v="20-30"/>
    <s v="no"/>
    <n v="25"/>
    <n v="13"/>
    <n v="13"/>
    <x v="0"/>
  </r>
  <r>
    <x v="1"/>
    <n v="29"/>
    <s v="Yes"/>
    <n v="2"/>
    <n v="4"/>
    <n v="7"/>
    <n v="5"/>
    <n v="3"/>
    <n v="1"/>
    <n v="6"/>
    <s v="Yes"/>
    <s v="Returns"/>
    <s v="Growth"/>
    <s v="Wealth Creation"/>
    <s v="3-5 years"/>
    <s v="Weekly"/>
    <s v="20%-30%"/>
    <s v="Mutual Fund"/>
    <s v="Retirement Plan"/>
    <s v="Capital Appreciation"/>
    <s v="Better Returns"/>
    <s v="Assured Returns"/>
    <s v="Fixed Returns"/>
    <s v="Financial Consultants"/>
    <s v="20-30"/>
    <s v="no"/>
    <n v="25"/>
    <n v="13"/>
    <n v="14"/>
    <x v="0"/>
  </r>
  <r>
    <x v="0"/>
    <n v="24"/>
    <s v="Yes"/>
    <n v="2"/>
    <n v="4"/>
    <n v="5"/>
    <n v="6"/>
    <n v="3"/>
    <n v="1"/>
    <n v="7"/>
    <s v="Yes"/>
    <s v="Risk"/>
    <s v="Capital Appreciation"/>
    <s v="Wealth Creation"/>
    <s v="3-5 years"/>
    <s v="Monthly"/>
    <s v="20%-30%"/>
    <s v="Equity"/>
    <s v="Health Care"/>
    <s v="Capital Appreciation"/>
    <s v="Better Returns"/>
    <s v="Assured Returns"/>
    <s v="Risk Free"/>
    <s v="Newspapers and Magazines"/>
    <s v="20-30"/>
    <s v="yes"/>
    <n v="25"/>
    <n v="11"/>
    <n v="16"/>
    <x v="0"/>
  </r>
  <r>
    <x v="1"/>
    <n v="27"/>
    <s v="Yes"/>
    <n v="3"/>
    <n v="4"/>
    <n v="6"/>
    <n v="5"/>
    <n v="2"/>
    <n v="1"/>
    <n v="7"/>
    <s v="Yes"/>
    <s v="Returns"/>
    <s v="Capital Appreciation"/>
    <s v="Wealth Creation"/>
    <s v="3-5 years"/>
    <s v="Monthly"/>
    <s v="20%-30%"/>
    <s v="Mutual Fund"/>
    <s v="Retirement Plan"/>
    <s v="Capital Appreciation"/>
    <s v="Better Returns"/>
    <s v="Assured Returns"/>
    <s v="Risk Free"/>
    <s v="Financial Consultants"/>
    <s v="20-30"/>
    <s v="no"/>
    <n v="25"/>
    <n v="13"/>
    <n v="14"/>
    <x v="0"/>
  </r>
  <r>
    <x v="1"/>
    <n v="25"/>
    <s v="Yes"/>
    <n v="2"/>
    <n v="4"/>
    <n v="6"/>
    <n v="5"/>
    <n v="3"/>
    <n v="1"/>
    <n v="7"/>
    <s v="Yes"/>
    <s v="Risk"/>
    <s v="Growth"/>
    <s v="Savings for Future"/>
    <s v="3-5 years"/>
    <s v="Weekly"/>
    <s v="20%-30%"/>
    <s v="Public Provident Fund"/>
    <s v="Health Care"/>
    <s v="Liquidity"/>
    <s v="Better Returns"/>
    <s v="Assured Returns"/>
    <s v="Risk Free"/>
    <s v="Financial Consultants"/>
    <s v="20-30"/>
    <s v="no"/>
    <n v="25"/>
    <n v="12"/>
    <n v="15"/>
    <x v="0"/>
  </r>
  <r>
    <x v="0"/>
    <n v="26"/>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s v="20-30"/>
    <s v="no"/>
    <n v="35"/>
    <n v="12"/>
    <n v="15"/>
    <x v="0"/>
  </r>
  <r>
    <x v="0"/>
    <n v="32"/>
    <s v="Yes"/>
    <n v="3"/>
    <n v="4"/>
    <n v="7"/>
    <n v="5"/>
    <n v="1"/>
    <n v="2"/>
    <n v="6"/>
    <s v="Yes"/>
    <s v="Risk"/>
    <s v="Growth"/>
    <s v="Wealth Creation"/>
    <s v="3-5 years"/>
    <s v="Monthly"/>
    <s v="20%-30%"/>
    <s v="Mutual Fund"/>
    <s v="Retirement Plan"/>
    <s v="Capital Appreciation"/>
    <s v="Better Returns"/>
    <s v="Assured Returns"/>
    <s v="Fixed Returns"/>
    <s v="Financial Consultants"/>
    <s v="30-40"/>
    <s v="no"/>
    <n v="25"/>
    <n v="14"/>
    <n v="12"/>
    <x v="1"/>
  </r>
  <r>
    <x v="1"/>
    <n v="26"/>
    <s v="Yes"/>
    <n v="3"/>
    <n v="4"/>
    <n v="6"/>
    <n v="5"/>
    <n v="1"/>
    <n v="2"/>
    <n v="7"/>
    <s v="Yes"/>
    <s v="Returns"/>
    <s v="Capital Appreciation"/>
    <s v="Wealth Creation"/>
    <s v="3-5 years"/>
    <s v="Monthly"/>
    <s v="20%-30%"/>
    <s v="Mutual Fund"/>
    <s v="Retirement Plan"/>
    <s v="Dividend"/>
    <s v="Fund Diversification"/>
    <s v="Assured Returns"/>
    <s v="Fixed Returns"/>
    <s v="Financial Consultants"/>
    <s v="20-30"/>
    <s v="no"/>
    <n v="25"/>
    <n v="13"/>
    <n v="13"/>
    <x v="0"/>
  </r>
  <r>
    <x v="1"/>
    <n v="31"/>
    <s v="Yes"/>
    <n v="2"/>
    <n v="3"/>
    <n v="7"/>
    <n v="6"/>
    <n v="4"/>
    <n v="1"/>
    <n v="5"/>
    <s v="Yes"/>
    <s v="Risk"/>
    <s v="Growth"/>
    <s v="Savings for Future"/>
    <s v="1-3 years"/>
    <s v="Monthly"/>
    <s v="20%-30%"/>
    <s v="Fixed Deposits"/>
    <s v="Health Care"/>
    <s v="Capital Appreciation"/>
    <s v="Fund Diversification"/>
    <s v="Safe Investment"/>
    <s v="Fixed Returns"/>
    <s v="Television"/>
    <s v="30-40"/>
    <s v="yes"/>
    <n v="25"/>
    <n v="12"/>
    <n v="15"/>
    <x v="0"/>
  </r>
  <r>
    <x v="1"/>
    <n v="29"/>
    <s v="Yes"/>
    <n v="2"/>
    <n v="3"/>
    <n v="6"/>
    <n v="5"/>
    <n v="1"/>
    <n v="4"/>
    <n v="7"/>
    <s v="Yes"/>
    <s v="Returns"/>
    <s v="Capital Appreciation"/>
    <s v="Wealth Creation"/>
    <s v="1-3 years"/>
    <s v="Monthly"/>
    <s v="20%-30%"/>
    <s v="Equity"/>
    <s v="Retirement Plan"/>
    <s v="Capital Appreciation"/>
    <s v="Better Returns"/>
    <s v="Assured Returns"/>
    <s v="Risk Free"/>
    <s v="Television"/>
    <s v="20-30"/>
    <s v="no"/>
    <n v="25"/>
    <n v="11"/>
    <n v="13"/>
    <x v="0"/>
  </r>
  <r>
    <x v="0"/>
    <n v="34"/>
    <s v="Yes"/>
    <n v="5"/>
    <n v="4"/>
    <n v="3"/>
    <n v="2"/>
    <n v="7"/>
    <n v="1"/>
    <n v="6"/>
    <s v="Yes"/>
    <s v="Returns"/>
    <s v="Income"/>
    <s v="Returns"/>
    <s v="3-5 years"/>
    <s v="Monthly"/>
    <s v="10%-20%"/>
    <s v="Mutual Fund"/>
    <s v="Retirement Plan"/>
    <s v="Capital Appreciation"/>
    <s v="Tax Benefits"/>
    <s v="Safe Investment"/>
    <s v="Fixed Returns"/>
    <s v="Newspapers and Magazines"/>
    <s v="30-40"/>
    <s v="yes"/>
    <n v="15"/>
    <n v="12"/>
    <n v="15"/>
    <x v="0"/>
  </r>
  <r>
    <x v="1"/>
    <n v="27"/>
    <s v="Yes"/>
    <n v="4"/>
    <n v="5"/>
    <n v="1"/>
    <n v="2"/>
    <n v="7"/>
    <n v="3"/>
    <n v="6"/>
    <s v="No"/>
    <s v="Returns"/>
    <s v="Growth"/>
    <s v="Wealth Creation"/>
    <s v="1-3 years"/>
    <s v="Monthly"/>
    <s v="10%-20%"/>
    <s v="Mutual Fund"/>
    <s v="Education"/>
    <s v="Capital Appreciation"/>
    <s v="Tax Benefits"/>
    <s v="Safe Investment"/>
    <s v="Fixed Returns"/>
    <s v="Television"/>
    <s v="20-30"/>
    <s v="yes"/>
    <n v="15"/>
    <n v="10"/>
    <n v="15"/>
    <x v="0"/>
  </r>
  <r>
    <x v="0"/>
    <n v="31"/>
    <s v="Yes"/>
    <n v="2"/>
    <n v="4"/>
    <n v="7"/>
    <n v="6"/>
    <n v="3"/>
    <n v="1"/>
    <n v="5"/>
    <s v="Yes"/>
    <s v="Returns"/>
    <s v="Capital Appreciation"/>
    <s v="Wealth Creation"/>
    <s v="3-5 years"/>
    <s v="Monthly"/>
    <s v="20%-30%"/>
    <s v="Fixed Deposits"/>
    <s v="Retirement Plan"/>
    <s v="Capital Appreciation"/>
    <s v="Better Returns"/>
    <s v="Assured Returns"/>
    <s v="Fixed Returns"/>
    <s v="Financial Consultants"/>
    <s v="30-40"/>
    <s v="yes"/>
    <n v="25"/>
    <n v="13"/>
    <n v="14"/>
    <x v="0"/>
  </r>
  <r>
    <x v="1"/>
    <n v="27"/>
    <s v="Yes"/>
    <n v="2"/>
    <n v="4"/>
    <n v="7"/>
    <n v="5"/>
    <n v="1"/>
    <n v="3"/>
    <n v="6"/>
    <s v="Yes"/>
    <s v="Returns"/>
    <s v="Capital Appreciation"/>
    <s v="Wealth Creation"/>
    <s v="3-5 years"/>
    <s v="Monthly"/>
    <s v="30%-40%"/>
    <s v="Equity"/>
    <s v="Health Care"/>
    <s v="Capital Appreciation"/>
    <s v="Fund Diversification"/>
    <s v="Assured Returns"/>
    <s v="Fixed Returns"/>
    <s v="Newspapers and Magazines"/>
    <s v="20-30"/>
    <s v="no"/>
    <n v="35"/>
    <n v="13"/>
    <n v="12"/>
    <x v="1"/>
  </r>
  <r>
    <x v="1"/>
    <n v="26"/>
    <s v="Yes"/>
    <n v="2"/>
    <n v="3"/>
    <n v="6"/>
    <n v="4"/>
    <n v="1"/>
    <n v="5"/>
    <n v="7"/>
    <s v="Yes"/>
    <s v="Returns"/>
    <s v="Capital Appreciation"/>
    <s v="Returns"/>
    <s v="1-3 years"/>
    <s v="Monthly"/>
    <s v="20%-30%"/>
    <s v="Fixed Deposits"/>
    <s v="Education"/>
    <s v="Dividend"/>
    <s v="Better Returns"/>
    <s v="Safe Investment"/>
    <s v="Risk Free"/>
    <s v="Newspapers and Magazines"/>
    <s v="20-30"/>
    <s v="no"/>
    <n v="25"/>
    <n v="11"/>
    <n v="12"/>
    <x v="0"/>
  </r>
  <r>
    <x v="1"/>
    <n v="27"/>
    <s v="Yes"/>
    <n v="2"/>
    <n v="3"/>
    <n v="6"/>
    <n v="5"/>
    <n v="4"/>
    <n v="1"/>
    <n v="7"/>
    <s v="Yes"/>
    <s v="Returns"/>
    <s v="Capital Appreciation"/>
    <s v="Wealth Creation"/>
    <s v="1-3 years"/>
    <s v="Weekly"/>
    <s v="20%-30%"/>
    <s v="Mutual Fund"/>
    <s v="Health Care"/>
    <s v="Capital Appreciation"/>
    <s v="Better Returns"/>
    <s v="Safe Investment"/>
    <s v="Fixed Returns"/>
    <s v="Financial Consultants"/>
    <s v="20-30"/>
    <s v="no"/>
    <n v="25"/>
    <n v="11"/>
    <n v="16"/>
    <x v="0"/>
  </r>
  <r>
    <x v="1"/>
    <n v="30"/>
    <s v="Yes"/>
    <n v="1"/>
    <n v="4"/>
    <n v="6"/>
    <n v="5"/>
    <n v="3"/>
    <n v="2"/>
    <n v="7"/>
    <s v="Yes"/>
    <s v="Risk"/>
    <s v="Growth"/>
    <s v="Wealth Creation"/>
    <s v="3-5 years"/>
    <s v="Monthly"/>
    <s v="20%-30%"/>
    <s v="Fixed Deposits"/>
    <s v="Health Care"/>
    <s v="Capital Appreciation"/>
    <s v="Better Returns"/>
    <s v="Assured Returns"/>
    <s v="Fixed Returns"/>
    <s v="Financial Consultants"/>
    <s v="20-30"/>
    <s v="no"/>
    <n v="25"/>
    <n v="11"/>
    <n v="15"/>
    <x v="0"/>
  </r>
  <r>
    <x v="1"/>
    <n v="30"/>
    <s v="Yes"/>
    <n v="2"/>
    <n v="4"/>
    <n v="7"/>
    <n v="5"/>
    <n v="1"/>
    <n v="3"/>
    <n v="6"/>
    <s v="Yes"/>
    <s v="Returns"/>
    <s v="Capital Appreciation"/>
    <s v="Wealth Creation"/>
    <s v="1-3 years"/>
    <s v="Monthly"/>
    <s v="20%-30%"/>
    <s v="Equity"/>
    <s v="Retirement Plan"/>
    <s v="Capital Appreciation"/>
    <s v="Better Returns"/>
    <s v="Assured Returns"/>
    <s v="Risk Free"/>
    <s v="Newspapers and Magazines"/>
    <s v="20-30"/>
    <s v="no"/>
    <n v="25"/>
    <n v="13"/>
    <n v="12"/>
    <x v="1"/>
  </r>
  <r>
    <x v="1"/>
    <n v="25"/>
    <s v="Yes"/>
    <n v="5"/>
    <n v="4"/>
    <n v="7"/>
    <n v="6"/>
    <n v="1"/>
    <n v="2"/>
    <n v="3"/>
    <s v="Yes"/>
    <s v="Risk"/>
    <s v="Growth"/>
    <s v="Savings for Future"/>
    <s v="3-5 years"/>
    <s v="Monthly"/>
    <s v="30%-40%"/>
    <s v="Public Provident Fund"/>
    <s v="Health Care"/>
    <s v="Capital Appreciation"/>
    <s v="Better Returns"/>
    <s v="Safe Investment"/>
    <s v="Fixed Returns"/>
    <s v="Financial Consultants"/>
    <s v="20-30"/>
    <s v="yes"/>
    <n v="35"/>
    <n v="16"/>
    <n v="10"/>
    <x v="1"/>
  </r>
  <r>
    <x v="1"/>
    <n v="31"/>
    <s v="Yes"/>
    <n v="2"/>
    <n v="4"/>
    <n v="7"/>
    <n v="5"/>
    <n v="3"/>
    <n v="1"/>
    <n v="6"/>
    <s v="Yes"/>
    <s v="Risk"/>
    <s v="Growth"/>
    <s v="Wealth Creation"/>
    <s v="1-3 years"/>
    <s v="Weekly"/>
    <s v="20%-30%"/>
    <s v="Equity"/>
    <s v="Health Care"/>
    <s v="Dividend"/>
    <s v="Fund Diversification"/>
    <s v="Assured Returns"/>
    <s v="Fixed Returns"/>
    <s v="Newspapers and Magazines"/>
    <s v="30-40"/>
    <s v="no"/>
    <n v="25"/>
    <n v="13"/>
    <n v="14"/>
    <x v="0"/>
  </r>
  <r>
    <x v="1"/>
    <n v="29"/>
    <s v="Yes"/>
    <n v="4"/>
    <n v="3"/>
    <n v="5"/>
    <n v="7"/>
    <n v="2"/>
    <n v="1"/>
    <n v="6"/>
    <s v="Yes"/>
    <s v="Returns"/>
    <s v="Capital Appreciation"/>
    <s v="Wealth Creation"/>
    <s v="3-5 years"/>
    <s v="Monthly"/>
    <s v="20%-30%"/>
    <s v="Fixed Deposits"/>
    <s v="Retirement Plan"/>
    <s v="Dividend"/>
    <s v="Better Returns"/>
    <s v="Safe Investment"/>
    <s v="Fixed Returns"/>
    <s v="Financial Consultants"/>
    <s v="20-30"/>
    <s v="yes"/>
    <n v="25"/>
    <n v="12"/>
    <n v="15"/>
    <x v="0"/>
  </r>
  <r>
    <x v="2"/>
    <m/>
    <m/>
    <n v="102"/>
    <n v="139"/>
    <n v="230"/>
    <n v="186"/>
    <n v="143"/>
    <n v="81"/>
    <n v="239"/>
    <m/>
    <m/>
    <m/>
    <m/>
    <m/>
    <m/>
    <m/>
    <m/>
    <m/>
    <m/>
    <m/>
    <m/>
    <m/>
    <m/>
    <m/>
    <m/>
    <m/>
    <m/>
    <m/>
    <x v="2"/>
  </r>
  <r>
    <x v="2"/>
    <m/>
    <m/>
    <m/>
    <m/>
    <m/>
    <m/>
    <m/>
    <m/>
    <m/>
    <m/>
    <m/>
    <m/>
    <m/>
    <m/>
    <m/>
    <m/>
    <m/>
    <m/>
    <m/>
    <m/>
    <m/>
    <m/>
    <m/>
    <m/>
    <m/>
    <m/>
    <m/>
    <m/>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n v="34"/>
    <s v="Yes"/>
    <n v="1"/>
    <n v="2"/>
    <n v="5"/>
    <n v="3"/>
    <n v="7"/>
    <n v="6"/>
    <n v="4"/>
    <s v="Yes"/>
    <s v="Returns"/>
    <s v="Capital Appreciation"/>
    <s v="Wealth Creation"/>
    <s v="1-3 years"/>
    <s v="Monthly"/>
    <s v="20%-30%"/>
    <s v="Mutual Fund"/>
    <s v="Retirement Plan"/>
    <s v="Capital Appreciation"/>
    <s v="Better Returns"/>
    <s v="Safe Investment"/>
    <s v="Fixed Returns"/>
    <s v="Newspapers and Magazines"/>
    <s v="30-40"/>
    <s v="yes"/>
    <n v="25"/>
    <n v="8"/>
    <n v="14"/>
    <x v="0"/>
    <x v="0"/>
  </r>
  <r>
    <x v="0"/>
    <n v="23"/>
    <s v="Yes"/>
    <n v="4"/>
    <n v="3"/>
    <n v="2"/>
    <n v="1"/>
    <n v="5"/>
    <n v="6"/>
    <n v="7"/>
    <s v="No"/>
    <s v="Locking Period"/>
    <s v="Capital Appreciation"/>
    <s v="Wealth Creation"/>
    <s v="More than 5 years"/>
    <s v="Weekly"/>
    <s v="20%-30%"/>
    <s v="Mutual Fund"/>
    <s v="Health Care"/>
    <s v="Dividend"/>
    <s v="Better Returns"/>
    <s v="Safe Investment"/>
    <s v="High Interest Rates"/>
    <s v="Financial Consultants"/>
    <s v="20-30"/>
    <s v="yes"/>
    <n v="25"/>
    <n v="9"/>
    <n v="13"/>
    <x v="0"/>
    <x v="1"/>
  </r>
  <r>
    <x v="1"/>
    <n v="30"/>
    <s v="Yes"/>
    <n v="3"/>
    <n v="6"/>
    <n v="4"/>
    <n v="2"/>
    <n v="5"/>
    <n v="1"/>
    <n v="7"/>
    <s v="Yes"/>
    <s v="Returns"/>
    <s v="Capital Appreciation"/>
    <s v="Wealth Creation"/>
    <s v="3-5 years"/>
    <s v="Daily"/>
    <s v="20%-30%"/>
    <s v="Equity"/>
    <s v="Retirement Plan"/>
    <s v="Capital Appreciation"/>
    <s v="Tax Benefits"/>
    <s v="Assured Returns"/>
    <s v="Fixed Returns"/>
    <s v="Television"/>
    <s v="20-30"/>
    <s v="no"/>
    <n v="25"/>
    <n v="13"/>
    <n v="14"/>
    <x v="0"/>
    <x v="0"/>
  </r>
  <r>
    <x v="1"/>
    <n v="22"/>
    <s v="Yes"/>
    <n v="2"/>
    <n v="1"/>
    <n v="3"/>
    <n v="7"/>
    <n v="6"/>
    <n v="4"/>
    <n v="5"/>
    <s v="Yes"/>
    <s v="Returns"/>
    <s v="Income"/>
    <s v="Wealth Creation"/>
    <s v="Less than 1 year"/>
    <s v="Daily"/>
    <s v="10%-20%"/>
    <s v="Equity"/>
    <s v="Retirement Plan"/>
    <s v="Dividend"/>
    <s v="Fund Diversification"/>
    <s v="Tax Incentives"/>
    <s v="High Interest Rates"/>
    <s v="Internet"/>
    <s v="20-30"/>
    <s v="yes"/>
    <n v="15"/>
    <n v="6"/>
    <n v="18"/>
    <x v="0"/>
    <x v="1"/>
  </r>
  <r>
    <x v="0"/>
    <n v="24"/>
    <s v="No"/>
    <n v="2"/>
    <n v="1"/>
    <n v="3"/>
    <n v="6"/>
    <n v="4"/>
    <n v="5"/>
    <n v="7"/>
    <s v="No"/>
    <s v="Returns"/>
    <s v="Income"/>
    <s v="Wealth Creation"/>
    <s v="Less than 1 year"/>
    <s v="Daily"/>
    <s v="20%-30%"/>
    <s v="Equity"/>
    <s v="Retirement Plan"/>
    <s v="Capital Appreciation"/>
    <s v="Better Returns"/>
    <s v="Safe Investment"/>
    <s v="Risk Free"/>
    <s v="Internet"/>
    <s v="20-30"/>
    <s v="yes"/>
    <n v="25"/>
    <n v="6"/>
    <n v="17"/>
    <x v="0"/>
    <x v="1"/>
  </r>
  <r>
    <x v="0"/>
    <n v="24"/>
    <s v="No"/>
    <n v="7"/>
    <n v="5"/>
    <n v="4"/>
    <n v="6"/>
    <n v="3"/>
    <n v="1"/>
    <n v="2"/>
    <s v="No"/>
    <s v="Risk"/>
    <s v="Capital Appreciation"/>
    <s v="Wealth Creation"/>
    <s v="1-3 years"/>
    <s v="Daily"/>
    <s v="30%-40%"/>
    <s v="Mutual Fund"/>
    <s v="Retirement Plan"/>
    <s v="Liquidity"/>
    <s v="Fund Diversification"/>
    <s v="Safe Investment"/>
    <s v="Risk Free"/>
    <s v="Internet"/>
    <s v="20-30"/>
    <s v="yes"/>
    <n v="35"/>
    <n v="16"/>
    <n v="11"/>
    <x v="1"/>
    <x v="1"/>
  </r>
  <r>
    <x v="0"/>
    <n v="27"/>
    <s v="Yes"/>
    <n v="3"/>
    <n v="6"/>
    <n v="4"/>
    <n v="2"/>
    <n v="5"/>
    <n v="1"/>
    <n v="7"/>
    <s v="Yes"/>
    <s v="Returns"/>
    <s v="Capital Appreciation"/>
    <s v="Wealth Creation"/>
    <s v="3-5 years"/>
    <s v="Monthly"/>
    <s v="20%-30%"/>
    <s v="Equity"/>
    <s v="Retirement Plan"/>
    <s v="Capital Appreciation"/>
    <s v="Better Returns"/>
    <s v="Assured Returns"/>
    <s v="High Interest Rates"/>
    <s v="Financial Consultants"/>
    <s v="20-30"/>
    <s v="no"/>
    <n v="25"/>
    <n v="13"/>
    <n v="14"/>
    <x v="0"/>
    <x v="0"/>
  </r>
  <r>
    <x v="1"/>
    <n v="21"/>
    <s v="Yes"/>
    <n v="2"/>
    <n v="3"/>
    <n v="7"/>
    <n v="4"/>
    <n v="6"/>
    <n v="1"/>
    <n v="5"/>
    <s v="Yes"/>
    <s v="Risk"/>
    <s v="Capital Appreciation"/>
    <s v="Wealth Creation"/>
    <s v="3-5 years"/>
    <s v="Monthly"/>
    <s v="20%-30%"/>
    <s v="Mutual Fund"/>
    <s v="Retirement Plan"/>
    <s v="Capital Appreciation"/>
    <s v="Better Returns"/>
    <s v="Assured Returns"/>
    <s v="Risk Free"/>
    <s v="Newspapers and Magazines"/>
    <s v="20-30"/>
    <s v="yes"/>
    <n v="25"/>
    <n v="12"/>
    <n v="15"/>
    <x v="0"/>
    <x v="1"/>
  </r>
  <r>
    <x v="1"/>
    <n v="35"/>
    <s v="Yes"/>
    <n v="2"/>
    <n v="4"/>
    <n v="7"/>
    <n v="5"/>
    <n v="3"/>
    <n v="1"/>
    <n v="6"/>
    <s v="Yes"/>
    <s v="Returns"/>
    <s v="Growth"/>
    <s v="Savings for Future"/>
    <s v="1-3 years"/>
    <s v="Weekly"/>
    <s v="20%-30%"/>
    <s v="Equity"/>
    <s v="Retirement Plan"/>
    <s v="Capital Appreciation"/>
    <s v="Fund Diversification"/>
    <s v="Safe Investment"/>
    <s v="Fixed Returns"/>
    <s v="Television"/>
    <s v="30-40"/>
    <s v="no"/>
    <n v="25"/>
    <n v="13"/>
    <n v="14"/>
    <x v="0"/>
    <x v="0"/>
  </r>
  <r>
    <x v="1"/>
    <n v="31"/>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s v="30-40"/>
    <s v="no"/>
    <n v="35"/>
    <n v="11"/>
    <n v="15"/>
    <x v="0"/>
    <x v="0"/>
  </r>
  <r>
    <x v="0"/>
    <n v="35"/>
    <s v="Yes"/>
    <n v="2"/>
    <n v="4"/>
    <n v="7"/>
    <n v="5"/>
    <n v="3"/>
    <n v="1"/>
    <n v="6"/>
    <s v="Yes"/>
    <s v="Risk"/>
    <s v="Growth"/>
    <s v="Savings for Future"/>
    <s v="3-5 years"/>
    <s v="Monthly"/>
    <s v="20%-30%"/>
    <s v="Mutual Fund"/>
    <s v="Retirement Plan"/>
    <s v="Capital Appreciation"/>
    <s v="Better Returns"/>
    <s v="Assured Returns"/>
    <s v="Risk Free"/>
    <s v="Financial Consultants"/>
    <s v="30-40"/>
    <s v="no"/>
    <n v="25"/>
    <n v="13"/>
    <n v="14"/>
    <x v="0"/>
    <x v="0"/>
  </r>
  <r>
    <x v="1"/>
    <n v="29"/>
    <s v="Yes"/>
    <n v="2"/>
    <n v="5"/>
    <n v="7"/>
    <n v="6"/>
    <n v="3"/>
    <n v="1"/>
    <n v="4"/>
    <s v="Yes"/>
    <s v="Risk"/>
    <s v="Capital Appreciation"/>
    <s v="Wealth Creation"/>
    <s v="1-3 years"/>
    <s v="Monthly"/>
    <s v="20%-30%"/>
    <s v="Mutual Fund"/>
    <s v="Retirement Plan"/>
    <s v="Capital Appreciation"/>
    <s v="Fund Diversification"/>
    <s v="Assured Returns"/>
    <s v="Fixed Returns"/>
    <s v="Financial Consultants"/>
    <s v="20-30"/>
    <s v="yes"/>
    <n v="25"/>
    <n v="14"/>
    <n v="13"/>
    <x v="1"/>
    <x v="0"/>
  </r>
  <r>
    <x v="0"/>
    <n v="21"/>
    <s v="No"/>
    <n v="1"/>
    <n v="2"/>
    <n v="3"/>
    <n v="4"/>
    <n v="5"/>
    <n v="6"/>
    <n v="7"/>
    <s v="No"/>
    <s v="Returns"/>
    <s v="Capital Appreciation"/>
    <s v="Savings for Future"/>
    <s v="1-3 years"/>
    <s v="Weekly"/>
    <s v="20%-30%"/>
    <s v="Mutual Fund"/>
    <s v="Education"/>
    <s v="Dividend"/>
    <s v="Better Returns"/>
    <s v="Safe Investment"/>
    <s v="Risk Free"/>
    <s v="Internet"/>
    <s v="20-30"/>
    <s v="yes"/>
    <n v="25"/>
    <n v="6"/>
    <n v="16"/>
    <x v="0"/>
    <x v="1"/>
  </r>
  <r>
    <x v="0"/>
    <n v="28"/>
    <s v="Yes"/>
    <n v="2"/>
    <n v="3"/>
    <n v="7"/>
    <n v="4"/>
    <n v="5"/>
    <n v="1"/>
    <n v="6"/>
    <s v="Yes"/>
    <s v="Returns"/>
    <s v="Capital Appreciation"/>
    <s v="Wealth Creation"/>
    <s v="1-3 years"/>
    <s v="Monthly"/>
    <s v="20%-30%"/>
    <s v="Mutual Fund"/>
    <s v="Retirement Plan"/>
    <s v="Capital Appreciation"/>
    <s v="Fund Diversification"/>
    <s v="Assured Returns"/>
    <s v="Risk Free"/>
    <s v="Newspapers and Magazines"/>
    <s v="20-30"/>
    <s v="no"/>
    <n v="25"/>
    <n v="12"/>
    <n v="15"/>
    <x v="0"/>
    <x v="0"/>
  </r>
  <r>
    <x v="0"/>
    <n v="25"/>
    <s v="Yes"/>
    <n v="2"/>
    <n v="3"/>
    <n v="7"/>
    <n v="5"/>
    <n v="4"/>
    <n v="1"/>
    <n v="6"/>
    <s v="Yes"/>
    <s v="Returns"/>
    <s v="Capital Appreciation"/>
    <s v="Wealth Creation"/>
    <s v="1-3 years"/>
    <s v="Monthly"/>
    <s v="20%-30%"/>
    <s v="Fixed Deposits"/>
    <s v="Health Care"/>
    <s v="Dividend"/>
    <s v="Better Returns"/>
    <s v="Assured Returns"/>
    <s v="Risk Free"/>
    <s v="Financial Consultants"/>
    <s v="20-30"/>
    <s v="no"/>
    <n v="25"/>
    <n v="12"/>
    <n v="15"/>
    <x v="0"/>
    <x v="1"/>
  </r>
  <r>
    <x v="1"/>
    <n v="27"/>
    <s v="Yes"/>
    <n v="2"/>
    <n v="3"/>
    <n v="7"/>
    <n v="5"/>
    <n v="4"/>
    <n v="1"/>
    <n v="6"/>
    <s v="Yes"/>
    <s v="Returns"/>
    <s v="Capital Appreciation"/>
    <s v="Wealth Creation"/>
    <s v="1-3 years"/>
    <s v="Monthly"/>
    <s v="20%-30%"/>
    <s v="Mutual Fund"/>
    <s v="Health Care"/>
    <s v="Capital Appreciation"/>
    <s v="Fund Diversification"/>
    <s v="Assured Returns"/>
    <s v="Risk Free"/>
    <s v="Newspapers and Magazines"/>
    <s v="20-30"/>
    <s v="no"/>
    <n v="25"/>
    <n v="12"/>
    <n v="15"/>
    <x v="0"/>
    <x v="0"/>
  </r>
  <r>
    <x v="0"/>
    <n v="28"/>
    <s v="Yes"/>
    <n v="3"/>
    <n v="2"/>
    <n v="7"/>
    <n v="5"/>
    <n v="4"/>
    <n v="1"/>
    <n v="6"/>
    <s v="Yes"/>
    <s v="Risk"/>
    <s v="Growth"/>
    <s v="Wealth Creation"/>
    <s v="1-3 years"/>
    <s v="Monthly"/>
    <s v="20%-30%"/>
    <s v="Fixed Deposits"/>
    <s v="Health Care"/>
    <s v="Capital Appreciation"/>
    <s v="Fund Diversification"/>
    <s v="Assured Returns"/>
    <s v="Risk Free"/>
    <s v="Television"/>
    <s v="20-30"/>
    <s v="no"/>
    <n v="25"/>
    <n v="12"/>
    <n v="15"/>
    <x v="0"/>
    <x v="0"/>
  </r>
  <r>
    <x v="1"/>
    <n v="27"/>
    <s v="Yes"/>
    <n v="3"/>
    <n v="2"/>
    <n v="7"/>
    <n v="4"/>
    <n v="5"/>
    <n v="1"/>
    <n v="6"/>
    <s v="Yes"/>
    <s v="Returns"/>
    <s v="Capital Appreciation"/>
    <s v="Wealth Creation"/>
    <s v="1-3 years"/>
    <s v="Monthly"/>
    <s v="20%-30%"/>
    <s v="Mutual Fund"/>
    <s v="Retirement Plan"/>
    <s v="Capital Appreciation"/>
    <s v="Better Returns"/>
    <s v="Assured Returns"/>
    <s v="Risk Free"/>
    <s v="Financial Consultants"/>
    <s v="20-30"/>
    <s v="no"/>
    <n v="25"/>
    <n v="12"/>
    <n v="15"/>
    <x v="0"/>
    <x v="0"/>
  </r>
  <r>
    <x v="1"/>
    <n v="29"/>
    <s v="Yes"/>
    <n v="3"/>
    <n v="2"/>
    <n v="7"/>
    <n v="4"/>
    <n v="5"/>
    <n v="1"/>
    <n v="6"/>
    <s v="Yes"/>
    <s v="Risk"/>
    <s v="Capital Appreciation"/>
    <s v="Wealth Creation"/>
    <s v="1-3 years"/>
    <s v="Monthly"/>
    <s v="20%-30%"/>
    <s v="Mutual Fund"/>
    <s v="Retirement Plan"/>
    <s v="Capital Appreciation"/>
    <s v="Better Returns"/>
    <s v="Assured Returns"/>
    <s v="Risk Free"/>
    <s v="Newspapers and Magazines"/>
    <s v="20-30"/>
    <s v="no"/>
    <n v="25"/>
    <n v="12"/>
    <n v="15"/>
    <x v="0"/>
    <x v="0"/>
  </r>
  <r>
    <x v="1"/>
    <n v="26"/>
    <s v="Yes"/>
    <n v="3"/>
    <n v="4"/>
    <n v="6"/>
    <n v="5"/>
    <n v="1"/>
    <n v="2"/>
    <n v="7"/>
    <s v="Yes"/>
    <s v="Risk"/>
    <s v="Capital Appreciation"/>
    <s v="Wealth Creation"/>
    <s v="3-5 years"/>
    <s v="Monthly"/>
    <s v="20%-30%"/>
    <s v="Fixed Deposits"/>
    <s v="Health Care"/>
    <s v="Capital Appreciation"/>
    <s v="Fund Diversification"/>
    <s v="Assured Returns"/>
    <s v="Risk Free"/>
    <s v="Newspapers and Magazines"/>
    <s v="20-30"/>
    <s v="no"/>
    <n v="25"/>
    <n v="13"/>
    <n v="13"/>
    <x v="0"/>
    <x v="0"/>
  </r>
  <r>
    <x v="1"/>
    <n v="29"/>
    <s v="Yes"/>
    <n v="2"/>
    <n v="4"/>
    <n v="7"/>
    <n v="5"/>
    <n v="3"/>
    <n v="1"/>
    <n v="6"/>
    <s v="Yes"/>
    <s v="Returns"/>
    <s v="Growth"/>
    <s v="Wealth Creation"/>
    <s v="3-5 years"/>
    <s v="Weekly"/>
    <s v="20%-30%"/>
    <s v="Mutual Fund"/>
    <s v="Retirement Plan"/>
    <s v="Capital Appreciation"/>
    <s v="Better Returns"/>
    <s v="Assured Returns"/>
    <s v="Fixed Returns"/>
    <s v="Financial Consultants"/>
    <s v="20-30"/>
    <s v="no"/>
    <n v="25"/>
    <n v="13"/>
    <n v="14"/>
    <x v="0"/>
    <x v="0"/>
  </r>
  <r>
    <x v="0"/>
    <n v="24"/>
    <s v="Yes"/>
    <n v="2"/>
    <n v="4"/>
    <n v="5"/>
    <n v="6"/>
    <n v="3"/>
    <n v="1"/>
    <n v="7"/>
    <s v="Yes"/>
    <s v="Risk"/>
    <s v="Capital Appreciation"/>
    <s v="Wealth Creation"/>
    <s v="3-5 years"/>
    <s v="Monthly"/>
    <s v="20%-30%"/>
    <s v="Equity"/>
    <s v="Health Care"/>
    <s v="Capital Appreciation"/>
    <s v="Better Returns"/>
    <s v="Assured Returns"/>
    <s v="Risk Free"/>
    <s v="Newspapers and Magazines"/>
    <s v="20-30"/>
    <s v="yes"/>
    <n v="25"/>
    <n v="11"/>
    <n v="16"/>
    <x v="0"/>
    <x v="1"/>
  </r>
  <r>
    <x v="1"/>
    <n v="27"/>
    <s v="Yes"/>
    <n v="3"/>
    <n v="4"/>
    <n v="6"/>
    <n v="5"/>
    <n v="2"/>
    <n v="1"/>
    <n v="7"/>
    <s v="Yes"/>
    <s v="Returns"/>
    <s v="Capital Appreciation"/>
    <s v="Wealth Creation"/>
    <s v="3-5 years"/>
    <s v="Monthly"/>
    <s v="20%-30%"/>
    <s v="Mutual Fund"/>
    <s v="Retirement Plan"/>
    <s v="Capital Appreciation"/>
    <s v="Better Returns"/>
    <s v="Assured Returns"/>
    <s v="Risk Free"/>
    <s v="Financial Consultants"/>
    <s v="20-30"/>
    <s v="no"/>
    <n v="25"/>
    <n v="13"/>
    <n v="14"/>
    <x v="0"/>
    <x v="0"/>
  </r>
  <r>
    <x v="1"/>
    <n v="25"/>
    <s v="Yes"/>
    <n v="2"/>
    <n v="4"/>
    <n v="6"/>
    <n v="5"/>
    <n v="3"/>
    <n v="1"/>
    <n v="7"/>
    <s v="Yes"/>
    <s v="Risk"/>
    <s v="Growth"/>
    <s v="Savings for Future"/>
    <s v="3-5 years"/>
    <s v="Weekly"/>
    <s v="20%-30%"/>
    <s v="Public Provident Fund"/>
    <s v="Health Care"/>
    <s v="Liquidity"/>
    <s v="Better Returns"/>
    <s v="Assured Returns"/>
    <s v="Risk Free"/>
    <s v="Financial Consultants"/>
    <s v="20-30"/>
    <s v="no"/>
    <n v="25"/>
    <n v="12"/>
    <n v="15"/>
    <x v="0"/>
    <x v="1"/>
  </r>
  <r>
    <x v="0"/>
    <n v="26"/>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s v="20-30"/>
    <s v="no"/>
    <n v="35"/>
    <n v="12"/>
    <n v="15"/>
    <x v="0"/>
    <x v="0"/>
  </r>
  <r>
    <x v="0"/>
    <n v="32"/>
    <s v="Yes"/>
    <n v="3"/>
    <n v="4"/>
    <n v="7"/>
    <n v="5"/>
    <n v="1"/>
    <n v="2"/>
    <n v="6"/>
    <s v="Yes"/>
    <s v="Risk"/>
    <s v="Growth"/>
    <s v="Wealth Creation"/>
    <s v="3-5 years"/>
    <s v="Monthly"/>
    <s v="20%-30%"/>
    <s v="Mutual Fund"/>
    <s v="Retirement Plan"/>
    <s v="Capital Appreciation"/>
    <s v="Better Returns"/>
    <s v="Assured Returns"/>
    <s v="Fixed Returns"/>
    <s v="Financial Consultants"/>
    <s v="30-40"/>
    <s v="no"/>
    <n v="25"/>
    <n v="14"/>
    <n v="12"/>
    <x v="1"/>
    <x v="0"/>
  </r>
  <r>
    <x v="1"/>
    <n v="26"/>
    <s v="Yes"/>
    <n v="3"/>
    <n v="4"/>
    <n v="6"/>
    <n v="5"/>
    <n v="1"/>
    <n v="2"/>
    <n v="7"/>
    <s v="Yes"/>
    <s v="Returns"/>
    <s v="Capital Appreciation"/>
    <s v="Wealth Creation"/>
    <s v="3-5 years"/>
    <s v="Monthly"/>
    <s v="20%-30%"/>
    <s v="Mutual Fund"/>
    <s v="Retirement Plan"/>
    <s v="Dividend"/>
    <s v="Fund Diversification"/>
    <s v="Assured Returns"/>
    <s v="Fixed Returns"/>
    <s v="Financial Consultants"/>
    <s v="20-30"/>
    <s v="no"/>
    <n v="25"/>
    <n v="13"/>
    <n v="13"/>
    <x v="0"/>
    <x v="0"/>
  </r>
  <r>
    <x v="1"/>
    <n v="31"/>
    <s v="Yes"/>
    <n v="2"/>
    <n v="3"/>
    <n v="7"/>
    <n v="6"/>
    <n v="4"/>
    <n v="1"/>
    <n v="5"/>
    <s v="Yes"/>
    <s v="Risk"/>
    <s v="Growth"/>
    <s v="Savings for Future"/>
    <s v="1-3 years"/>
    <s v="Monthly"/>
    <s v="20%-30%"/>
    <s v="Fixed Deposits"/>
    <s v="Health Care"/>
    <s v="Capital Appreciation"/>
    <s v="Fund Diversification"/>
    <s v="Safe Investment"/>
    <s v="Fixed Returns"/>
    <s v="Television"/>
    <s v="30-40"/>
    <s v="yes"/>
    <n v="25"/>
    <n v="12"/>
    <n v="15"/>
    <x v="0"/>
    <x v="0"/>
  </r>
  <r>
    <x v="1"/>
    <n v="29"/>
    <s v="Yes"/>
    <n v="2"/>
    <n v="3"/>
    <n v="6"/>
    <n v="5"/>
    <n v="1"/>
    <n v="4"/>
    <n v="7"/>
    <s v="Yes"/>
    <s v="Returns"/>
    <s v="Capital Appreciation"/>
    <s v="Wealth Creation"/>
    <s v="1-3 years"/>
    <s v="Monthly"/>
    <s v="20%-30%"/>
    <s v="Equity"/>
    <s v="Retirement Plan"/>
    <s v="Capital Appreciation"/>
    <s v="Better Returns"/>
    <s v="Assured Returns"/>
    <s v="Risk Free"/>
    <s v="Television"/>
    <s v="20-30"/>
    <s v="no"/>
    <n v="25"/>
    <n v="11"/>
    <n v="13"/>
    <x v="0"/>
    <x v="0"/>
  </r>
  <r>
    <x v="0"/>
    <n v="34"/>
    <s v="Yes"/>
    <n v="5"/>
    <n v="4"/>
    <n v="3"/>
    <n v="2"/>
    <n v="7"/>
    <n v="1"/>
    <n v="6"/>
    <s v="Yes"/>
    <s v="Returns"/>
    <s v="Income"/>
    <s v="Returns"/>
    <s v="3-5 years"/>
    <s v="Monthly"/>
    <s v="10%-20%"/>
    <s v="Mutual Fund"/>
    <s v="Retirement Plan"/>
    <s v="Capital Appreciation"/>
    <s v="Tax Benefits"/>
    <s v="Safe Investment"/>
    <s v="Fixed Returns"/>
    <s v="Newspapers and Magazines"/>
    <s v="30-40"/>
    <s v="yes"/>
    <n v="15"/>
    <n v="12"/>
    <n v="15"/>
    <x v="0"/>
    <x v="0"/>
  </r>
  <r>
    <x v="1"/>
    <n v="27"/>
    <s v="Yes"/>
    <n v="4"/>
    <n v="5"/>
    <n v="1"/>
    <n v="2"/>
    <n v="7"/>
    <n v="3"/>
    <n v="6"/>
    <s v="No"/>
    <s v="Returns"/>
    <s v="Growth"/>
    <s v="Wealth Creation"/>
    <s v="1-3 years"/>
    <s v="Monthly"/>
    <s v="10%-20%"/>
    <s v="Mutual Fund"/>
    <s v="Education"/>
    <s v="Capital Appreciation"/>
    <s v="Tax Benefits"/>
    <s v="Safe Investment"/>
    <s v="Fixed Returns"/>
    <s v="Television"/>
    <s v="20-30"/>
    <s v="yes"/>
    <n v="15"/>
    <n v="10"/>
    <n v="15"/>
    <x v="0"/>
    <x v="0"/>
  </r>
  <r>
    <x v="0"/>
    <n v="31"/>
    <s v="Yes"/>
    <n v="2"/>
    <n v="4"/>
    <n v="7"/>
    <n v="6"/>
    <n v="3"/>
    <n v="1"/>
    <n v="5"/>
    <s v="Yes"/>
    <s v="Returns"/>
    <s v="Capital Appreciation"/>
    <s v="Wealth Creation"/>
    <s v="3-5 years"/>
    <s v="Monthly"/>
    <s v="20%-30%"/>
    <s v="Fixed Deposits"/>
    <s v="Retirement Plan"/>
    <s v="Capital Appreciation"/>
    <s v="Better Returns"/>
    <s v="Assured Returns"/>
    <s v="Fixed Returns"/>
    <s v="Financial Consultants"/>
    <s v="30-40"/>
    <s v="yes"/>
    <n v="25"/>
    <n v="13"/>
    <n v="14"/>
    <x v="0"/>
    <x v="0"/>
  </r>
  <r>
    <x v="1"/>
    <n v="27"/>
    <s v="Yes"/>
    <n v="2"/>
    <n v="4"/>
    <n v="7"/>
    <n v="5"/>
    <n v="1"/>
    <n v="3"/>
    <n v="6"/>
    <s v="Yes"/>
    <s v="Returns"/>
    <s v="Capital Appreciation"/>
    <s v="Wealth Creation"/>
    <s v="3-5 years"/>
    <s v="Monthly"/>
    <s v="30%-40%"/>
    <s v="Equity"/>
    <s v="Health Care"/>
    <s v="Capital Appreciation"/>
    <s v="Fund Diversification"/>
    <s v="Assured Returns"/>
    <s v="Fixed Returns"/>
    <s v="Newspapers and Magazines"/>
    <s v="20-30"/>
    <s v="no"/>
    <n v="35"/>
    <n v="13"/>
    <n v="12"/>
    <x v="1"/>
    <x v="0"/>
  </r>
  <r>
    <x v="1"/>
    <n v="26"/>
    <s v="Yes"/>
    <n v="2"/>
    <n v="3"/>
    <n v="6"/>
    <n v="4"/>
    <n v="1"/>
    <n v="5"/>
    <n v="7"/>
    <s v="Yes"/>
    <s v="Returns"/>
    <s v="Capital Appreciation"/>
    <s v="Returns"/>
    <s v="1-3 years"/>
    <s v="Monthly"/>
    <s v="20%-30%"/>
    <s v="Fixed Deposits"/>
    <s v="Education"/>
    <s v="Dividend"/>
    <s v="Better Returns"/>
    <s v="Safe Investment"/>
    <s v="Risk Free"/>
    <s v="Newspapers and Magazines"/>
    <s v="20-30"/>
    <s v="no"/>
    <n v="25"/>
    <n v="11"/>
    <n v="12"/>
    <x v="0"/>
    <x v="0"/>
  </r>
  <r>
    <x v="1"/>
    <n v="27"/>
    <s v="Yes"/>
    <n v="2"/>
    <n v="3"/>
    <n v="6"/>
    <n v="5"/>
    <n v="4"/>
    <n v="1"/>
    <n v="7"/>
    <s v="Yes"/>
    <s v="Returns"/>
    <s v="Capital Appreciation"/>
    <s v="Wealth Creation"/>
    <s v="1-3 years"/>
    <s v="Weekly"/>
    <s v="20%-30%"/>
    <s v="Mutual Fund"/>
    <s v="Health Care"/>
    <s v="Capital Appreciation"/>
    <s v="Better Returns"/>
    <s v="Safe Investment"/>
    <s v="Fixed Returns"/>
    <s v="Financial Consultants"/>
    <s v="20-30"/>
    <s v="no"/>
    <n v="25"/>
    <n v="11"/>
    <n v="16"/>
    <x v="0"/>
    <x v="0"/>
  </r>
  <r>
    <x v="1"/>
    <n v="30"/>
    <s v="Yes"/>
    <n v="1"/>
    <n v="4"/>
    <n v="6"/>
    <n v="5"/>
    <n v="3"/>
    <n v="2"/>
    <n v="7"/>
    <s v="Yes"/>
    <s v="Risk"/>
    <s v="Growth"/>
    <s v="Wealth Creation"/>
    <s v="3-5 years"/>
    <s v="Monthly"/>
    <s v="20%-30%"/>
    <s v="Fixed Deposits"/>
    <s v="Health Care"/>
    <s v="Capital Appreciation"/>
    <s v="Better Returns"/>
    <s v="Assured Returns"/>
    <s v="Fixed Returns"/>
    <s v="Financial Consultants"/>
    <s v="20-30"/>
    <s v="no"/>
    <n v="25"/>
    <n v="11"/>
    <n v="15"/>
    <x v="0"/>
    <x v="0"/>
  </r>
  <r>
    <x v="1"/>
    <n v="30"/>
    <s v="Yes"/>
    <n v="2"/>
    <n v="4"/>
    <n v="7"/>
    <n v="5"/>
    <n v="1"/>
    <n v="3"/>
    <n v="6"/>
    <s v="Yes"/>
    <s v="Returns"/>
    <s v="Capital Appreciation"/>
    <s v="Wealth Creation"/>
    <s v="1-3 years"/>
    <s v="Monthly"/>
    <s v="20%-30%"/>
    <s v="Equity"/>
    <s v="Retirement Plan"/>
    <s v="Capital Appreciation"/>
    <s v="Better Returns"/>
    <s v="Assured Returns"/>
    <s v="Risk Free"/>
    <s v="Newspapers and Magazines"/>
    <s v="20-30"/>
    <s v="no"/>
    <n v="25"/>
    <n v="13"/>
    <n v="12"/>
    <x v="1"/>
    <x v="0"/>
  </r>
  <r>
    <x v="1"/>
    <n v="25"/>
    <s v="Yes"/>
    <n v="5"/>
    <n v="4"/>
    <n v="7"/>
    <n v="6"/>
    <n v="1"/>
    <n v="2"/>
    <n v="3"/>
    <s v="Yes"/>
    <s v="Risk"/>
    <s v="Growth"/>
    <s v="Savings for Future"/>
    <s v="3-5 years"/>
    <s v="Monthly"/>
    <s v="30%-40%"/>
    <s v="Public Provident Fund"/>
    <s v="Health Care"/>
    <s v="Capital Appreciation"/>
    <s v="Better Returns"/>
    <s v="Safe Investment"/>
    <s v="Fixed Returns"/>
    <s v="Financial Consultants"/>
    <s v="20-30"/>
    <s v="yes"/>
    <n v="35"/>
    <n v="16"/>
    <n v="10"/>
    <x v="1"/>
    <x v="1"/>
  </r>
  <r>
    <x v="1"/>
    <n v="31"/>
    <s v="Yes"/>
    <n v="2"/>
    <n v="4"/>
    <n v="7"/>
    <n v="5"/>
    <n v="3"/>
    <n v="1"/>
    <n v="6"/>
    <s v="Yes"/>
    <s v="Risk"/>
    <s v="Growth"/>
    <s v="Wealth Creation"/>
    <s v="1-3 years"/>
    <s v="Weekly"/>
    <s v="20%-30%"/>
    <s v="Equity"/>
    <s v="Health Care"/>
    <s v="Dividend"/>
    <s v="Fund Diversification"/>
    <s v="Assured Returns"/>
    <s v="Fixed Returns"/>
    <s v="Newspapers and Magazines"/>
    <s v="30-40"/>
    <s v="no"/>
    <n v="25"/>
    <n v="13"/>
    <n v="14"/>
    <x v="0"/>
    <x v="0"/>
  </r>
  <r>
    <x v="1"/>
    <n v="29"/>
    <s v="Yes"/>
    <n v="4"/>
    <n v="3"/>
    <n v="5"/>
    <n v="7"/>
    <n v="2"/>
    <n v="1"/>
    <n v="6"/>
    <s v="Yes"/>
    <s v="Returns"/>
    <s v="Capital Appreciation"/>
    <s v="Wealth Creation"/>
    <s v="3-5 years"/>
    <s v="Monthly"/>
    <s v="20%-30%"/>
    <s v="Fixed Deposits"/>
    <s v="Retirement Plan"/>
    <s v="Dividend"/>
    <s v="Better Returns"/>
    <s v="Safe Investment"/>
    <s v="Fixed Returns"/>
    <s v="Financial Consultants"/>
    <s v="20-30"/>
    <s v="yes"/>
    <n v="25"/>
    <n v="12"/>
    <n v="15"/>
    <x v="0"/>
    <x v="0"/>
  </r>
  <r>
    <x v="2"/>
    <m/>
    <m/>
    <n v="102"/>
    <n v="139"/>
    <n v="230"/>
    <n v="186"/>
    <n v="143"/>
    <n v="81"/>
    <n v="239"/>
    <m/>
    <m/>
    <m/>
    <m/>
    <m/>
    <m/>
    <m/>
    <m/>
    <m/>
    <m/>
    <m/>
    <m/>
    <m/>
    <m/>
    <m/>
    <m/>
    <m/>
    <m/>
    <m/>
    <x v="2"/>
    <x v="2"/>
  </r>
  <r>
    <x v="2"/>
    <m/>
    <m/>
    <m/>
    <m/>
    <m/>
    <m/>
    <m/>
    <m/>
    <m/>
    <m/>
    <m/>
    <m/>
    <m/>
    <m/>
    <m/>
    <m/>
    <m/>
    <m/>
    <m/>
    <m/>
    <m/>
    <m/>
    <m/>
    <m/>
    <m/>
    <m/>
    <m/>
    <m/>
    <x v="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Female"/>
    <n v="34"/>
    <s v="Yes"/>
    <n v="1"/>
    <n v="2"/>
    <n v="5"/>
    <n v="3"/>
    <n v="7"/>
    <n v="6"/>
    <n v="4"/>
    <s v="Yes"/>
    <s v="Returns"/>
    <s v="Capital Appreciation"/>
    <s v="Wealth Creation"/>
    <s v="1-3 years"/>
    <s v="Monthly"/>
    <s v="20%-30%"/>
    <s v="Mutual Fund"/>
    <s v="Retirement Plan"/>
    <s v="Capital Appreciation"/>
    <s v="Better Returns"/>
    <s v="Safe Investment"/>
    <s v="Fixed Returns"/>
    <s v="Newspapers and Magazines"/>
    <s v="30-40"/>
    <s v="yes"/>
    <n v="25"/>
    <n v="8"/>
    <n v="14"/>
    <x v="0"/>
    <s v="Conservative"/>
    <x v="0"/>
  </r>
  <r>
    <s v="Female"/>
    <n v="23"/>
    <s v="Yes"/>
    <n v="4"/>
    <n v="3"/>
    <n v="2"/>
    <n v="1"/>
    <n v="5"/>
    <n v="6"/>
    <n v="7"/>
    <s v="No"/>
    <s v="Locking Period"/>
    <s v="Capital Appreciation"/>
    <s v="Wealth Creation"/>
    <s v="More than 5 years"/>
    <s v="Weekly"/>
    <s v="20%-30%"/>
    <s v="Mutual Fund"/>
    <s v="Health Care"/>
    <s v="Dividend"/>
    <s v="Better Returns"/>
    <s v="Safe Investment"/>
    <s v="High Interest Rates"/>
    <s v="Financial Consultants"/>
    <s v="20-30"/>
    <s v="yes"/>
    <n v="25"/>
    <n v="9"/>
    <n v="13"/>
    <x v="0"/>
    <s v="Young Aggressive"/>
    <x v="0"/>
  </r>
  <r>
    <s v="Male"/>
    <n v="30"/>
    <s v="Yes"/>
    <n v="3"/>
    <n v="6"/>
    <n v="4"/>
    <n v="2"/>
    <n v="5"/>
    <n v="1"/>
    <n v="7"/>
    <s v="Yes"/>
    <s v="Returns"/>
    <s v="Capital Appreciation"/>
    <s v="Wealth Creation"/>
    <s v="3-5 years"/>
    <s v="Daily"/>
    <s v="20%-30%"/>
    <s v="Equity"/>
    <s v="Retirement Plan"/>
    <s v="Capital Appreciation"/>
    <s v="Tax Benefits"/>
    <s v="Assured Returns"/>
    <s v="Fixed Returns"/>
    <s v="Television"/>
    <s v="20-30"/>
    <s v="no"/>
    <n v="25"/>
    <n v="13"/>
    <n v="14"/>
    <x v="0"/>
    <s v="Conservative"/>
    <x v="0"/>
  </r>
  <r>
    <s v="Male"/>
    <n v="22"/>
    <s v="Yes"/>
    <n v="2"/>
    <n v="1"/>
    <n v="3"/>
    <n v="7"/>
    <n v="6"/>
    <n v="4"/>
    <n v="5"/>
    <s v="Yes"/>
    <s v="Returns"/>
    <s v="Income"/>
    <s v="Wealth Creation"/>
    <s v="Less than 1 year"/>
    <s v="Daily"/>
    <s v="10%-20%"/>
    <s v="Equity"/>
    <s v="Retirement Plan"/>
    <s v="Dividend"/>
    <s v="Fund Diversification"/>
    <s v="Tax Incentives"/>
    <s v="High Interest Rates"/>
    <s v="Internet"/>
    <s v="20-30"/>
    <s v="yes"/>
    <n v="15"/>
    <n v="6"/>
    <n v="18"/>
    <x v="0"/>
    <s v="Young Aggressive"/>
    <x v="0"/>
  </r>
  <r>
    <s v="Female"/>
    <n v="24"/>
    <s v="No"/>
    <n v="2"/>
    <n v="1"/>
    <n v="3"/>
    <n v="6"/>
    <n v="4"/>
    <n v="5"/>
    <n v="7"/>
    <s v="No"/>
    <s v="Returns"/>
    <s v="Income"/>
    <s v="Wealth Creation"/>
    <s v="Less than 1 year"/>
    <s v="Daily"/>
    <s v="20%-30%"/>
    <s v="Equity"/>
    <s v="Retirement Plan"/>
    <s v="Capital Appreciation"/>
    <s v="Better Returns"/>
    <s v="Safe Investment"/>
    <s v="Risk Free"/>
    <s v="Internet"/>
    <s v="20-30"/>
    <s v="yes"/>
    <n v="25"/>
    <n v="6"/>
    <n v="17"/>
    <x v="0"/>
    <s v="Young Aggressive"/>
    <x v="0"/>
  </r>
  <r>
    <s v="Female"/>
    <n v="24"/>
    <s v="No"/>
    <n v="7"/>
    <n v="5"/>
    <n v="4"/>
    <n v="6"/>
    <n v="3"/>
    <n v="1"/>
    <n v="2"/>
    <s v="No"/>
    <s v="Risk"/>
    <s v="Capital Appreciation"/>
    <s v="Wealth Creation"/>
    <s v="1-3 years"/>
    <s v="Daily"/>
    <s v="30%-40%"/>
    <s v="Mutual Fund"/>
    <s v="Retirement Plan"/>
    <s v="Liquidity"/>
    <s v="Fund Diversification"/>
    <s v="Safe Investment"/>
    <s v="Risk Free"/>
    <s v="Internet"/>
    <s v="20-30"/>
    <s v="yes"/>
    <n v="35"/>
    <n v="16"/>
    <n v="11"/>
    <x v="1"/>
    <s v="Young Aggressive"/>
    <x v="1"/>
  </r>
  <r>
    <s v="Female"/>
    <n v="27"/>
    <s v="Yes"/>
    <n v="3"/>
    <n v="6"/>
    <n v="4"/>
    <n v="2"/>
    <n v="5"/>
    <n v="1"/>
    <n v="7"/>
    <s v="Yes"/>
    <s v="Returns"/>
    <s v="Capital Appreciation"/>
    <s v="Wealth Creation"/>
    <s v="3-5 years"/>
    <s v="Monthly"/>
    <s v="20%-30%"/>
    <s v="Equity"/>
    <s v="Retirement Plan"/>
    <s v="Capital Appreciation"/>
    <s v="Better Returns"/>
    <s v="Assured Returns"/>
    <s v="High Interest Rates"/>
    <s v="Financial Consultants"/>
    <s v="20-30"/>
    <s v="no"/>
    <n v="25"/>
    <n v="13"/>
    <n v="14"/>
    <x v="0"/>
    <s v="Conservative"/>
    <x v="0"/>
  </r>
  <r>
    <s v="Male"/>
    <n v="21"/>
    <s v="Yes"/>
    <n v="2"/>
    <n v="3"/>
    <n v="7"/>
    <n v="4"/>
    <n v="6"/>
    <n v="1"/>
    <n v="5"/>
    <s v="Yes"/>
    <s v="Risk"/>
    <s v="Capital Appreciation"/>
    <s v="Wealth Creation"/>
    <s v="3-5 years"/>
    <s v="Monthly"/>
    <s v="20%-30%"/>
    <s v="Mutual Fund"/>
    <s v="Retirement Plan"/>
    <s v="Capital Appreciation"/>
    <s v="Better Returns"/>
    <s v="Assured Returns"/>
    <s v="Risk Free"/>
    <s v="Newspapers and Magazines"/>
    <s v="20-30"/>
    <s v="yes"/>
    <n v="25"/>
    <n v="12"/>
    <n v="15"/>
    <x v="0"/>
    <s v="Young Aggressive"/>
    <x v="0"/>
  </r>
  <r>
    <s v="Male"/>
    <n v="35"/>
    <s v="Yes"/>
    <n v="2"/>
    <n v="4"/>
    <n v="7"/>
    <n v="5"/>
    <n v="3"/>
    <n v="1"/>
    <n v="6"/>
    <s v="Yes"/>
    <s v="Returns"/>
    <s v="Growth"/>
    <s v="Savings for Future"/>
    <s v="1-3 years"/>
    <s v="Weekly"/>
    <s v="20%-30%"/>
    <s v="Equity"/>
    <s v="Retirement Plan"/>
    <s v="Capital Appreciation"/>
    <s v="Fund Diversification"/>
    <s v="Safe Investment"/>
    <s v="Fixed Returns"/>
    <s v="Television"/>
    <s v="30-40"/>
    <s v="no"/>
    <n v="25"/>
    <n v="13"/>
    <n v="14"/>
    <x v="0"/>
    <s v="Conservative"/>
    <x v="0"/>
  </r>
  <r>
    <s v="Male"/>
    <n v="31"/>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s v="30-40"/>
    <s v="no"/>
    <n v="35"/>
    <n v="11"/>
    <n v="15"/>
    <x v="0"/>
    <s v="Conservative"/>
    <x v="0"/>
  </r>
  <r>
    <s v="Female"/>
    <n v="35"/>
    <s v="Yes"/>
    <n v="2"/>
    <n v="4"/>
    <n v="7"/>
    <n v="5"/>
    <n v="3"/>
    <n v="1"/>
    <n v="6"/>
    <s v="Yes"/>
    <s v="Risk"/>
    <s v="Growth"/>
    <s v="Savings for Future"/>
    <s v="3-5 years"/>
    <s v="Monthly"/>
    <s v="20%-30%"/>
    <s v="Mutual Fund"/>
    <s v="Retirement Plan"/>
    <s v="Capital Appreciation"/>
    <s v="Better Returns"/>
    <s v="Assured Returns"/>
    <s v="Risk Free"/>
    <s v="Financial Consultants"/>
    <s v="30-40"/>
    <s v="no"/>
    <n v="25"/>
    <n v="13"/>
    <n v="14"/>
    <x v="0"/>
    <s v="Conservative"/>
    <x v="0"/>
  </r>
  <r>
    <s v="Male"/>
    <n v="29"/>
    <s v="Yes"/>
    <n v="2"/>
    <n v="5"/>
    <n v="7"/>
    <n v="6"/>
    <n v="3"/>
    <n v="1"/>
    <n v="4"/>
    <s v="Yes"/>
    <s v="Risk"/>
    <s v="Capital Appreciation"/>
    <s v="Wealth Creation"/>
    <s v="1-3 years"/>
    <s v="Monthly"/>
    <s v="20%-30%"/>
    <s v="Mutual Fund"/>
    <s v="Retirement Plan"/>
    <s v="Capital Appreciation"/>
    <s v="Fund Diversification"/>
    <s v="Assured Returns"/>
    <s v="Fixed Returns"/>
    <s v="Financial Consultants"/>
    <s v="20-30"/>
    <s v="yes"/>
    <n v="25"/>
    <n v="14"/>
    <n v="13"/>
    <x v="1"/>
    <s v="Conservative"/>
    <x v="1"/>
  </r>
  <r>
    <s v="Female"/>
    <n v="21"/>
    <s v="No"/>
    <n v="1"/>
    <n v="2"/>
    <n v="3"/>
    <n v="4"/>
    <n v="5"/>
    <n v="6"/>
    <n v="7"/>
    <s v="No"/>
    <s v="Returns"/>
    <s v="Capital Appreciation"/>
    <s v="Savings for Future"/>
    <s v="1-3 years"/>
    <s v="Weekly"/>
    <s v="20%-30%"/>
    <s v="Mutual Fund"/>
    <s v="Education"/>
    <s v="Dividend"/>
    <s v="Better Returns"/>
    <s v="Safe Investment"/>
    <s v="Risk Free"/>
    <s v="Internet"/>
    <s v="20-30"/>
    <s v="yes"/>
    <n v="25"/>
    <n v="6"/>
    <n v="16"/>
    <x v="0"/>
    <s v="Young Aggressive"/>
    <x v="0"/>
  </r>
  <r>
    <s v="Female"/>
    <n v="28"/>
    <s v="Yes"/>
    <n v="2"/>
    <n v="3"/>
    <n v="7"/>
    <n v="4"/>
    <n v="5"/>
    <n v="1"/>
    <n v="6"/>
    <s v="Yes"/>
    <s v="Returns"/>
    <s v="Capital Appreciation"/>
    <s v="Wealth Creation"/>
    <s v="1-3 years"/>
    <s v="Monthly"/>
    <s v="20%-30%"/>
    <s v="Mutual Fund"/>
    <s v="Retirement Plan"/>
    <s v="Capital Appreciation"/>
    <s v="Fund Diversification"/>
    <s v="Assured Returns"/>
    <s v="Risk Free"/>
    <s v="Newspapers and Magazines"/>
    <s v="20-30"/>
    <s v="no"/>
    <n v="25"/>
    <n v="12"/>
    <n v="15"/>
    <x v="0"/>
    <s v="Conservative"/>
    <x v="0"/>
  </r>
  <r>
    <s v="Female"/>
    <n v="25"/>
    <s v="Yes"/>
    <n v="2"/>
    <n v="3"/>
    <n v="7"/>
    <n v="5"/>
    <n v="4"/>
    <n v="1"/>
    <n v="6"/>
    <s v="Yes"/>
    <s v="Returns"/>
    <s v="Capital Appreciation"/>
    <s v="Wealth Creation"/>
    <s v="1-3 years"/>
    <s v="Monthly"/>
    <s v="20%-30%"/>
    <s v="Fixed Deposits"/>
    <s v="Health Care"/>
    <s v="Dividend"/>
    <s v="Better Returns"/>
    <s v="Assured Returns"/>
    <s v="Risk Free"/>
    <s v="Financial Consultants"/>
    <s v="20-30"/>
    <s v="no"/>
    <n v="25"/>
    <n v="12"/>
    <n v="15"/>
    <x v="0"/>
    <s v="Young Aggressive"/>
    <x v="0"/>
  </r>
  <r>
    <s v="Male"/>
    <n v="27"/>
    <s v="Yes"/>
    <n v="2"/>
    <n v="3"/>
    <n v="7"/>
    <n v="5"/>
    <n v="4"/>
    <n v="1"/>
    <n v="6"/>
    <s v="Yes"/>
    <s v="Returns"/>
    <s v="Capital Appreciation"/>
    <s v="Wealth Creation"/>
    <s v="1-3 years"/>
    <s v="Monthly"/>
    <s v="20%-30%"/>
    <s v="Mutual Fund"/>
    <s v="Health Care"/>
    <s v="Capital Appreciation"/>
    <s v="Fund Diversification"/>
    <s v="Assured Returns"/>
    <s v="Risk Free"/>
    <s v="Newspapers and Magazines"/>
    <s v="20-30"/>
    <s v="no"/>
    <n v="25"/>
    <n v="12"/>
    <n v="15"/>
    <x v="0"/>
    <s v="Conservative"/>
    <x v="0"/>
  </r>
  <r>
    <s v="Female"/>
    <n v="28"/>
    <s v="Yes"/>
    <n v="3"/>
    <n v="2"/>
    <n v="7"/>
    <n v="5"/>
    <n v="4"/>
    <n v="1"/>
    <n v="6"/>
    <s v="Yes"/>
    <s v="Risk"/>
    <s v="Growth"/>
    <s v="Wealth Creation"/>
    <s v="1-3 years"/>
    <s v="Monthly"/>
    <s v="20%-30%"/>
    <s v="Fixed Deposits"/>
    <s v="Health Care"/>
    <s v="Capital Appreciation"/>
    <s v="Fund Diversification"/>
    <s v="Assured Returns"/>
    <s v="Risk Free"/>
    <s v="Television"/>
    <s v="20-30"/>
    <s v="no"/>
    <n v="25"/>
    <n v="12"/>
    <n v="15"/>
    <x v="0"/>
    <s v="Conservative"/>
    <x v="0"/>
  </r>
  <r>
    <s v="Male"/>
    <n v="27"/>
    <s v="Yes"/>
    <n v="3"/>
    <n v="2"/>
    <n v="7"/>
    <n v="4"/>
    <n v="5"/>
    <n v="1"/>
    <n v="6"/>
    <s v="Yes"/>
    <s v="Returns"/>
    <s v="Capital Appreciation"/>
    <s v="Wealth Creation"/>
    <s v="1-3 years"/>
    <s v="Monthly"/>
    <s v="20%-30%"/>
    <s v="Mutual Fund"/>
    <s v="Retirement Plan"/>
    <s v="Capital Appreciation"/>
    <s v="Better Returns"/>
    <s v="Assured Returns"/>
    <s v="Risk Free"/>
    <s v="Financial Consultants"/>
    <s v="20-30"/>
    <s v="no"/>
    <n v="25"/>
    <n v="12"/>
    <n v="15"/>
    <x v="0"/>
    <s v="Conservative"/>
    <x v="0"/>
  </r>
  <r>
    <s v="Male"/>
    <n v="29"/>
    <s v="Yes"/>
    <n v="3"/>
    <n v="2"/>
    <n v="7"/>
    <n v="4"/>
    <n v="5"/>
    <n v="1"/>
    <n v="6"/>
    <s v="Yes"/>
    <s v="Risk"/>
    <s v="Capital Appreciation"/>
    <s v="Wealth Creation"/>
    <s v="1-3 years"/>
    <s v="Monthly"/>
    <s v="20%-30%"/>
    <s v="Mutual Fund"/>
    <s v="Retirement Plan"/>
    <s v="Capital Appreciation"/>
    <s v="Better Returns"/>
    <s v="Assured Returns"/>
    <s v="Risk Free"/>
    <s v="Newspapers and Magazines"/>
    <s v="20-30"/>
    <s v="no"/>
    <n v="25"/>
    <n v="12"/>
    <n v="15"/>
    <x v="0"/>
    <s v="Conservative"/>
    <x v="0"/>
  </r>
  <r>
    <s v="Male"/>
    <n v="26"/>
    <s v="Yes"/>
    <n v="3"/>
    <n v="4"/>
    <n v="6"/>
    <n v="5"/>
    <n v="1"/>
    <n v="2"/>
    <n v="7"/>
    <s v="Yes"/>
    <s v="Risk"/>
    <s v="Capital Appreciation"/>
    <s v="Wealth Creation"/>
    <s v="3-5 years"/>
    <s v="Monthly"/>
    <s v="20%-30%"/>
    <s v="Fixed Deposits"/>
    <s v="Health Care"/>
    <s v="Capital Appreciation"/>
    <s v="Fund Diversification"/>
    <s v="Assured Returns"/>
    <s v="Risk Free"/>
    <s v="Newspapers and Magazines"/>
    <s v="20-30"/>
    <s v="no"/>
    <n v="25"/>
    <n v="13"/>
    <n v="13"/>
    <x v="0"/>
    <s v="Conservative"/>
    <x v="0"/>
  </r>
  <r>
    <s v="Male"/>
    <n v="29"/>
    <s v="Yes"/>
    <n v="2"/>
    <n v="4"/>
    <n v="7"/>
    <n v="5"/>
    <n v="3"/>
    <n v="1"/>
    <n v="6"/>
    <s v="Yes"/>
    <s v="Returns"/>
    <s v="Growth"/>
    <s v="Wealth Creation"/>
    <s v="3-5 years"/>
    <s v="Weekly"/>
    <s v="20%-30%"/>
    <s v="Mutual Fund"/>
    <s v="Retirement Plan"/>
    <s v="Capital Appreciation"/>
    <s v="Better Returns"/>
    <s v="Assured Returns"/>
    <s v="Fixed Returns"/>
    <s v="Financial Consultants"/>
    <s v="20-30"/>
    <s v="no"/>
    <n v="25"/>
    <n v="13"/>
    <n v="14"/>
    <x v="0"/>
    <s v="Conservative"/>
    <x v="0"/>
  </r>
  <r>
    <s v="Female"/>
    <n v="24"/>
    <s v="Yes"/>
    <n v="2"/>
    <n v="4"/>
    <n v="5"/>
    <n v="6"/>
    <n v="3"/>
    <n v="1"/>
    <n v="7"/>
    <s v="Yes"/>
    <s v="Risk"/>
    <s v="Capital Appreciation"/>
    <s v="Wealth Creation"/>
    <s v="3-5 years"/>
    <s v="Monthly"/>
    <s v="20%-30%"/>
    <s v="Equity"/>
    <s v="Health Care"/>
    <s v="Capital Appreciation"/>
    <s v="Better Returns"/>
    <s v="Assured Returns"/>
    <s v="Risk Free"/>
    <s v="Newspapers and Magazines"/>
    <s v="20-30"/>
    <s v="yes"/>
    <n v="25"/>
    <n v="11"/>
    <n v="16"/>
    <x v="0"/>
    <s v="Young Aggressive"/>
    <x v="0"/>
  </r>
  <r>
    <s v="Male"/>
    <n v="27"/>
    <s v="Yes"/>
    <n v="3"/>
    <n v="4"/>
    <n v="6"/>
    <n v="5"/>
    <n v="2"/>
    <n v="1"/>
    <n v="7"/>
    <s v="Yes"/>
    <s v="Returns"/>
    <s v="Capital Appreciation"/>
    <s v="Wealth Creation"/>
    <s v="3-5 years"/>
    <s v="Monthly"/>
    <s v="20%-30%"/>
    <s v="Mutual Fund"/>
    <s v="Retirement Plan"/>
    <s v="Capital Appreciation"/>
    <s v="Better Returns"/>
    <s v="Assured Returns"/>
    <s v="Risk Free"/>
    <s v="Financial Consultants"/>
    <s v="20-30"/>
    <s v="no"/>
    <n v="25"/>
    <n v="13"/>
    <n v="14"/>
    <x v="0"/>
    <s v="Conservative"/>
    <x v="0"/>
  </r>
  <r>
    <s v="Male"/>
    <n v="25"/>
    <s v="Yes"/>
    <n v="2"/>
    <n v="4"/>
    <n v="6"/>
    <n v="5"/>
    <n v="3"/>
    <n v="1"/>
    <n v="7"/>
    <s v="Yes"/>
    <s v="Risk"/>
    <s v="Growth"/>
    <s v="Savings for Future"/>
    <s v="3-5 years"/>
    <s v="Weekly"/>
    <s v="20%-30%"/>
    <s v="Public Provident Fund"/>
    <s v="Health Care"/>
    <s v="Liquidity"/>
    <s v="Better Returns"/>
    <s v="Assured Returns"/>
    <s v="Risk Free"/>
    <s v="Financial Consultants"/>
    <s v="20-30"/>
    <s v="no"/>
    <n v="25"/>
    <n v="12"/>
    <n v="15"/>
    <x v="0"/>
    <s v="Young Aggressive"/>
    <x v="0"/>
  </r>
  <r>
    <s v="Female"/>
    <n v="26"/>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s v="20-30"/>
    <s v="no"/>
    <n v="35"/>
    <n v="12"/>
    <n v="15"/>
    <x v="0"/>
    <s v="Conservative"/>
    <x v="0"/>
  </r>
  <r>
    <s v="Female"/>
    <n v="32"/>
    <s v="Yes"/>
    <n v="3"/>
    <n v="4"/>
    <n v="7"/>
    <n v="5"/>
    <n v="1"/>
    <n v="2"/>
    <n v="6"/>
    <s v="Yes"/>
    <s v="Risk"/>
    <s v="Growth"/>
    <s v="Wealth Creation"/>
    <s v="3-5 years"/>
    <s v="Monthly"/>
    <s v="20%-30%"/>
    <s v="Mutual Fund"/>
    <s v="Retirement Plan"/>
    <s v="Capital Appreciation"/>
    <s v="Better Returns"/>
    <s v="Assured Returns"/>
    <s v="Fixed Returns"/>
    <s v="Financial Consultants"/>
    <s v="30-40"/>
    <s v="no"/>
    <n v="25"/>
    <n v="14"/>
    <n v="12"/>
    <x v="1"/>
    <s v="Conservative"/>
    <x v="1"/>
  </r>
  <r>
    <s v="Male"/>
    <n v="26"/>
    <s v="Yes"/>
    <n v="3"/>
    <n v="4"/>
    <n v="6"/>
    <n v="5"/>
    <n v="1"/>
    <n v="2"/>
    <n v="7"/>
    <s v="Yes"/>
    <s v="Returns"/>
    <s v="Capital Appreciation"/>
    <s v="Wealth Creation"/>
    <s v="3-5 years"/>
    <s v="Monthly"/>
    <s v="20%-30%"/>
    <s v="Mutual Fund"/>
    <s v="Retirement Plan"/>
    <s v="Dividend"/>
    <s v="Fund Diversification"/>
    <s v="Assured Returns"/>
    <s v="Fixed Returns"/>
    <s v="Financial Consultants"/>
    <s v="20-30"/>
    <s v="no"/>
    <n v="25"/>
    <n v="13"/>
    <n v="13"/>
    <x v="0"/>
    <s v="Conservative"/>
    <x v="0"/>
  </r>
  <r>
    <s v="Male"/>
    <n v="31"/>
    <s v="Yes"/>
    <n v="2"/>
    <n v="3"/>
    <n v="7"/>
    <n v="6"/>
    <n v="4"/>
    <n v="1"/>
    <n v="5"/>
    <s v="Yes"/>
    <s v="Risk"/>
    <s v="Growth"/>
    <s v="Savings for Future"/>
    <s v="1-3 years"/>
    <s v="Monthly"/>
    <s v="20%-30%"/>
    <s v="Fixed Deposits"/>
    <s v="Health Care"/>
    <s v="Capital Appreciation"/>
    <s v="Fund Diversification"/>
    <s v="Safe Investment"/>
    <s v="Fixed Returns"/>
    <s v="Television"/>
    <s v="30-40"/>
    <s v="yes"/>
    <n v="25"/>
    <n v="12"/>
    <n v="15"/>
    <x v="0"/>
    <s v="Conservative"/>
    <x v="0"/>
  </r>
  <r>
    <s v="Male"/>
    <n v="29"/>
    <s v="Yes"/>
    <n v="2"/>
    <n v="3"/>
    <n v="6"/>
    <n v="5"/>
    <n v="1"/>
    <n v="4"/>
    <n v="7"/>
    <s v="Yes"/>
    <s v="Returns"/>
    <s v="Capital Appreciation"/>
    <s v="Wealth Creation"/>
    <s v="1-3 years"/>
    <s v="Monthly"/>
    <s v="20%-30%"/>
    <s v="Equity"/>
    <s v="Retirement Plan"/>
    <s v="Capital Appreciation"/>
    <s v="Better Returns"/>
    <s v="Assured Returns"/>
    <s v="Risk Free"/>
    <s v="Television"/>
    <s v="20-30"/>
    <s v="no"/>
    <n v="25"/>
    <n v="11"/>
    <n v="13"/>
    <x v="0"/>
    <s v="Conservative"/>
    <x v="0"/>
  </r>
  <r>
    <s v="Female"/>
    <n v="34"/>
    <s v="Yes"/>
    <n v="5"/>
    <n v="4"/>
    <n v="3"/>
    <n v="2"/>
    <n v="7"/>
    <n v="1"/>
    <n v="6"/>
    <s v="Yes"/>
    <s v="Returns"/>
    <s v="Income"/>
    <s v="Returns"/>
    <s v="3-5 years"/>
    <s v="Monthly"/>
    <s v="10%-20%"/>
    <s v="Mutual Fund"/>
    <s v="Retirement Plan"/>
    <s v="Capital Appreciation"/>
    <s v="Tax Benefits"/>
    <s v="Safe Investment"/>
    <s v="Fixed Returns"/>
    <s v="Newspapers and Magazines"/>
    <s v="30-40"/>
    <s v="yes"/>
    <n v="15"/>
    <n v="12"/>
    <n v="15"/>
    <x v="0"/>
    <s v="Conservative"/>
    <x v="0"/>
  </r>
  <r>
    <s v="Male"/>
    <n v="27"/>
    <s v="Yes"/>
    <n v="4"/>
    <n v="5"/>
    <n v="1"/>
    <n v="2"/>
    <n v="7"/>
    <n v="3"/>
    <n v="6"/>
    <s v="No"/>
    <s v="Returns"/>
    <s v="Growth"/>
    <s v="Wealth Creation"/>
    <s v="1-3 years"/>
    <s v="Monthly"/>
    <s v="10%-20%"/>
    <s v="Mutual Fund"/>
    <s v="Education"/>
    <s v="Capital Appreciation"/>
    <s v="Tax Benefits"/>
    <s v="Safe Investment"/>
    <s v="Fixed Returns"/>
    <s v="Television"/>
    <s v="20-30"/>
    <s v="yes"/>
    <n v="15"/>
    <n v="10"/>
    <n v="15"/>
    <x v="0"/>
    <s v="Conservative"/>
    <x v="0"/>
  </r>
  <r>
    <s v="Female"/>
    <n v="31"/>
    <s v="Yes"/>
    <n v="2"/>
    <n v="4"/>
    <n v="7"/>
    <n v="6"/>
    <n v="3"/>
    <n v="1"/>
    <n v="5"/>
    <s v="Yes"/>
    <s v="Returns"/>
    <s v="Capital Appreciation"/>
    <s v="Wealth Creation"/>
    <s v="3-5 years"/>
    <s v="Monthly"/>
    <s v="20%-30%"/>
    <s v="Fixed Deposits"/>
    <s v="Retirement Plan"/>
    <s v="Capital Appreciation"/>
    <s v="Better Returns"/>
    <s v="Assured Returns"/>
    <s v="Fixed Returns"/>
    <s v="Financial Consultants"/>
    <s v="30-40"/>
    <s v="yes"/>
    <n v="25"/>
    <n v="13"/>
    <n v="14"/>
    <x v="0"/>
    <s v="Conservative"/>
    <x v="0"/>
  </r>
  <r>
    <s v="Male"/>
    <n v="27"/>
    <s v="Yes"/>
    <n v="2"/>
    <n v="4"/>
    <n v="7"/>
    <n v="5"/>
    <n v="1"/>
    <n v="3"/>
    <n v="6"/>
    <s v="Yes"/>
    <s v="Returns"/>
    <s v="Capital Appreciation"/>
    <s v="Wealth Creation"/>
    <s v="3-5 years"/>
    <s v="Monthly"/>
    <s v="30%-40%"/>
    <s v="Equity"/>
    <s v="Health Care"/>
    <s v="Capital Appreciation"/>
    <s v="Fund Diversification"/>
    <s v="Assured Returns"/>
    <s v="Fixed Returns"/>
    <s v="Newspapers and Magazines"/>
    <s v="20-30"/>
    <s v="no"/>
    <n v="35"/>
    <n v="13"/>
    <n v="12"/>
    <x v="1"/>
    <s v="Conservative"/>
    <x v="1"/>
  </r>
  <r>
    <s v="Male"/>
    <n v="26"/>
    <s v="Yes"/>
    <n v="2"/>
    <n v="3"/>
    <n v="6"/>
    <n v="4"/>
    <n v="1"/>
    <n v="5"/>
    <n v="7"/>
    <s v="Yes"/>
    <s v="Returns"/>
    <s v="Capital Appreciation"/>
    <s v="Returns"/>
    <s v="1-3 years"/>
    <s v="Monthly"/>
    <s v="20%-30%"/>
    <s v="Fixed Deposits"/>
    <s v="Education"/>
    <s v="Dividend"/>
    <s v="Better Returns"/>
    <s v="Safe Investment"/>
    <s v="Risk Free"/>
    <s v="Newspapers and Magazines"/>
    <s v="20-30"/>
    <s v="no"/>
    <n v="25"/>
    <n v="11"/>
    <n v="12"/>
    <x v="0"/>
    <s v="Conservative"/>
    <x v="0"/>
  </r>
  <r>
    <s v="Male"/>
    <n v="27"/>
    <s v="Yes"/>
    <n v="2"/>
    <n v="3"/>
    <n v="6"/>
    <n v="5"/>
    <n v="4"/>
    <n v="1"/>
    <n v="7"/>
    <s v="Yes"/>
    <s v="Returns"/>
    <s v="Capital Appreciation"/>
    <s v="Wealth Creation"/>
    <s v="1-3 years"/>
    <s v="Weekly"/>
    <s v="20%-30%"/>
    <s v="Mutual Fund"/>
    <s v="Health Care"/>
    <s v="Capital Appreciation"/>
    <s v="Better Returns"/>
    <s v="Safe Investment"/>
    <s v="Fixed Returns"/>
    <s v="Financial Consultants"/>
    <s v="20-30"/>
    <s v="no"/>
    <n v="25"/>
    <n v="11"/>
    <n v="16"/>
    <x v="0"/>
    <s v="Conservative"/>
    <x v="0"/>
  </r>
  <r>
    <s v="Male"/>
    <n v="30"/>
    <s v="Yes"/>
    <n v="1"/>
    <n v="4"/>
    <n v="6"/>
    <n v="5"/>
    <n v="3"/>
    <n v="2"/>
    <n v="7"/>
    <s v="Yes"/>
    <s v="Risk"/>
    <s v="Growth"/>
    <s v="Wealth Creation"/>
    <s v="3-5 years"/>
    <s v="Monthly"/>
    <s v="20%-30%"/>
    <s v="Fixed Deposits"/>
    <s v="Health Care"/>
    <s v="Capital Appreciation"/>
    <s v="Better Returns"/>
    <s v="Assured Returns"/>
    <s v="Fixed Returns"/>
    <s v="Financial Consultants"/>
    <s v="20-30"/>
    <s v="no"/>
    <n v="25"/>
    <n v="11"/>
    <n v="15"/>
    <x v="0"/>
    <s v="Conservative"/>
    <x v="0"/>
  </r>
  <r>
    <s v="Male"/>
    <n v="30"/>
    <s v="Yes"/>
    <n v="2"/>
    <n v="4"/>
    <n v="7"/>
    <n v="5"/>
    <n v="1"/>
    <n v="3"/>
    <n v="6"/>
    <s v="Yes"/>
    <s v="Returns"/>
    <s v="Capital Appreciation"/>
    <s v="Wealth Creation"/>
    <s v="1-3 years"/>
    <s v="Monthly"/>
    <s v="20%-30%"/>
    <s v="Equity"/>
    <s v="Retirement Plan"/>
    <s v="Capital Appreciation"/>
    <s v="Better Returns"/>
    <s v="Assured Returns"/>
    <s v="Risk Free"/>
    <s v="Newspapers and Magazines"/>
    <s v="20-30"/>
    <s v="no"/>
    <n v="25"/>
    <n v="13"/>
    <n v="12"/>
    <x v="1"/>
    <s v="Conservative"/>
    <x v="1"/>
  </r>
  <r>
    <s v="Male"/>
    <n v="25"/>
    <s v="Yes"/>
    <n v="5"/>
    <n v="4"/>
    <n v="7"/>
    <n v="6"/>
    <n v="1"/>
    <n v="2"/>
    <n v="3"/>
    <s v="Yes"/>
    <s v="Risk"/>
    <s v="Growth"/>
    <s v="Savings for Future"/>
    <s v="3-5 years"/>
    <s v="Monthly"/>
    <s v="30%-40%"/>
    <s v="Public Provident Fund"/>
    <s v="Health Care"/>
    <s v="Capital Appreciation"/>
    <s v="Better Returns"/>
    <s v="Safe Investment"/>
    <s v="Fixed Returns"/>
    <s v="Financial Consultants"/>
    <s v="20-30"/>
    <s v="yes"/>
    <n v="35"/>
    <n v="16"/>
    <n v="10"/>
    <x v="1"/>
    <s v="Young Aggressive"/>
    <x v="1"/>
  </r>
  <r>
    <s v="Male"/>
    <n v="31"/>
    <s v="Yes"/>
    <n v="2"/>
    <n v="4"/>
    <n v="7"/>
    <n v="5"/>
    <n v="3"/>
    <n v="1"/>
    <n v="6"/>
    <s v="Yes"/>
    <s v="Risk"/>
    <s v="Growth"/>
    <s v="Wealth Creation"/>
    <s v="1-3 years"/>
    <s v="Weekly"/>
    <s v="20%-30%"/>
    <s v="Equity"/>
    <s v="Health Care"/>
    <s v="Dividend"/>
    <s v="Fund Diversification"/>
    <s v="Assured Returns"/>
    <s v="Fixed Returns"/>
    <s v="Newspapers and Magazines"/>
    <s v="30-40"/>
    <s v="no"/>
    <n v="25"/>
    <n v="13"/>
    <n v="14"/>
    <x v="0"/>
    <s v="Conservative"/>
    <x v="0"/>
  </r>
  <r>
    <s v="Male"/>
    <n v="29"/>
    <s v="Yes"/>
    <n v="4"/>
    <n v="3"/>
    <n v="5"/>
    <n v="7"/>
    <n v="2"/>
    <n v="1"/>
    <n v="6"/>
    <s v="Yes"/>
    <s v="Returns"/>
    <s v="Capital Appreciation"/>
    <s v="Wealth Creation"/>
    <s v="3-5 years"/>
    <s v="Monthly"/>
    <s v="20%-30%"/>
    <s v="Fixed Deposits"/>
    <s v="Retirement Plan"/>
    <s v="Dividend"/>
    <s v="Better Returns"/>
    <s v="Safe Investment"/>
    <s v="Fixed Returns"/>
    <s v="Financial Consultants"/>
    <s v="20-30"/>
    <s v="yes"/>
    <n v="25"/>
    <n v="12"/>
    <n v="15"/>
    <x v="0"/>
    <s v="Conservative"/>
    <x v="0"/>
  </r>
  <r>
    <m/>
    <m/>
    <m/>
    <n v="102"/>
    <n v="139"/>
    <n v="230"/>
    <n v="186"/>
    <n v="143"/>
    <n v="81"/>
    <n v="239"/>
    <m/>
    <m/>
    <m/>
    <m/>
    <m/>
    <m/>
    <m/>
    <m/>
    <m/>
    <m/>
    <m/>
    <m/>
    <m/>
    <m/>
    <m/>
    <m/>
    <m/>
    <m/>
    <m/>
    <x v="2"/>
    <m/>
    <x v="2"/>
  </r>
  <r>
    <m/>
    <m/>
    <m/>
    <m/>
    <m/>
    <m/>
    <m/>
    <m/>
    <m/>
    <m/>
    <m/>
    <m/>
    <m/>
    <m/>
    <m/>
    <m/>
    <m/>
    <m/>
    <m/>
    <m/>
    <m/>
    <m/>
    <m/>
    <m/>
    <m/>
    <m/>
    <m/>
    <m/>
    <m/>
    <x v="2"/>
    <m/>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s v="Yes"/>
    <n v="1"/>
    <n v="2"/>
    <n v="5"/>
    <n v="3"/>
    <n v="7"/>
    <n v="6"/>
    <n v="4"/>
    <s v="Yes"/>
    <s v="Returns"/>
    <s v="Capital Appreciation"/>
    <s v="Wealth Creation"/>
    <s v="1-3 years"/>
    <x v="0"/>
    <s v="20%-30%"/>
    <x v="0"/>
    <x v="0"/>
    <s v="Capital Appreciation"/>
    <s v="Better Returns"/>
    <s v="Safe Investment"/>
    <s v="Fixed Returns"/>
    <s v="Newspapers and Magazines"/>
    <x v="0"/>
    <s v="yes"/>
    <n v="25"/>
  </r>
  <r>
    <x v="0"/>
    <x v="1"/>
    <s v="Yes"/>
    <n v="4"/>
    <n v="3"/>
    <n v="2"/>
    <n v="1"/>
    <n v="5"/>
    <n v="6"/>
    <n v="7"/>
    <s v="No"/>
    <s v="Locking Period"/>
    <s v="Capital Appreciation"/>
    <s v="Wealth Creation"/>
    <s v="More than 5 years"/>
    <x v="1"/>
    <s v="20%-30%"/>
    <x v="0"/>
    <x v="1"/>
    <s v="Dividend"/>
    <s v="Better Returns"/>
    <s v="Safe Investment"/>
    <s v="High Interest Rates"/>
    <s v="Financial Consultants"/>
    <x v="1"/>
    <s v="yes"/>
    <n v="25"/>
  </r>
  <r>
    <x v="1"/>
    <x v="2"/>
    <s v="Yes"/>
    <n v="3"/>
    <n v="6"/>
    <n v="4"/>
    <n v="2"/>
    <n v="5"/>
    <n v="1"/>
    <n v="7"/>
    <s v="Yes"/>
    <s v="Returns"/>
    <s v="Capital Appreciation"/>
    <s v="Wealth Creation"/>
    <s v="3-5 years"/>
    <x v="2"/>
    <s v="20%-30%"/>
    <x v="1"/>
    <x v="0"/>
    <s v="Capital Appreciation"/>
    <s v="Tax Benefits"/>
    <s v="Assured Returns"/>
    <s v="Fixed Returns"/>
    <s v="Television"/>
    <x v="1"/>
    <s v="no"/>
    <n v="25"/>
  </r>
  <r>
    <x v="1"/>
    <x v="3"/>
    <s v="Yes"/>
    <n v="2"/>
    <n v="1"/>
    <n v="3"/>
    <n v="7"/>
    <n v="6"/>
    <n v="4"/>
    <n v="5"/>
    <s v="Yes"/>
    <s v="Returns"/>
    <s v="Income"/>
    <s v="Wealth Creation"/>
    <s v="Less than 1 year"/>
    <x v="2"/>
    <s v="10%-20%"/>
    <x v="1"/>
    <x v="0"/>
    <s v="Dividend"/>
    <s v="Fund Diversification"/>
    <s v="Tax Incentives"/>
    <s v="High Interest Rates"/>
    <s v="Internet"/>
    <x v="1"/>
    <s v="yes"/>
    <n v="15"/>
  </r>
  <r>
    <x v="0"/>
    <x v="4"/>
    <s v="No"/>
    <n v="2"/>
    <n v="1"/>
    <n v="3"/>
    <n v="6"/>
    <n v="4"/>
    <n v="5"/>
    <n v="7"/>
    <s v="No"/>
    <s v="Returns"/>
    <s v="Income"/>
    <s v="Wealth Creation"/>
    <s v="Less than 1 year"/>
    <x v="2"/>
    <s v="20%-30%"/>
    <x v="1"/>
    <x v="0"/>
    <s v="Capital Appreciation"/>
    <s v="Better Returns"/>
    <s v="Safe Investment"/>
    <s v="Risk Free"/>
    <s v="Internet"/>
    <x v="1"/>
    <s v="yes"/>
    <n v="25"/>
  </r>
  <r>
    <x v="0"/>
    <x v="4"/>
    <s v="No"/>
    <n v="7"/>
    <n v="5"/>
    <n v="4"/>
    <n v="6"/>
    <n v="3"/>
    <n v="1"/>
    <n v="2"/>
    <s v="No"/>
    <s v="Risk"/>
    <s v="Capital Appreciation"/>
    <s v="Wealth Creation"/>
    <s v="1-3 years"/>
    <x v="2"/>
    <s v="30%-40%"/>
    <x v="0"/>
    <x v="0"/>
    <s v="Liquidity"/>
    <s v="Fund Diversification"/>
    <s v="Safe Investment"/>
    <s v="Risk Free"/>
    <s v="Internet"/>
    <x v="1"/>
    <s v="yes"/>
    <n v="35"/>
  </r>
  <r>
    <x v="0"/>
    <x v="5"/>
    <s v="Yes"/>
    <n v="3"/>
    <n v="6"/>
    <n v="4"/>
    <n v="2"/>
    <n v="5"/>
    <n v="1"/>
    <n v="7"/>
    <s v="Yes"/>
    <s v="Returns"/>
    <s v="Capital Appreciation"/>
    <s v="Wealth Creation"/>
    <s v="3-5 years"/>
    <x v="0"/>
    <s v="20%-30%"/>
    <x v="1"/>
    <x v="0"/>
    <s v="Capital Appreciation"/>
    <s v="Better Returns"/>
    <s v="Assured Returns"/>
    <s v="High Interest Rates"/>
    <s v="Financial Consultants"/>
    <x v="1"/>
    <s v="no"/>
    <n v="25"/>
  </r>
  <r>
    <x v="1"/>
    <x v="6"/>
    <s v="Yes"/>
    <n v="2"/>
    <n v="3"/>
    <n v="7"/>
    <n v="4"/>
    <n v="6"/>
    <n v="1"/>
    <n v="5"/>
    <s v="Yes"/>
    <s v="Risk"/>
    <s v="Capital Appreciation"/>
    <s v="Wealth Creation"/>
    <s v="3-5 years"/>
    <x v="0"/>
    <s v="20%-30%"/>
    <x v="0"/>
    <x v="0"/>
    <s v="Capital Appreciation"/>
    <s v="Better Returns"/>
    <s v="Assured Returns"/>
    <s v="Risk Free"/>
    <s v="Newspapers and Magazines"/>
    <x v="1"/>
    <s v="yes"/>
    <n v="25"/>
  </r>
  <r>
    <x v="1"/>
    <x v="7"/>
    <s v="Yes"/>
    <n v="2"/>
    <n v="4"/>
    <n v="7"/>
    <n v="5"/>
    <n v="3"/>
    <n v="1"/>
    <n v="6"/>
    <s v="Yes"/>
    <s v="Returns"/>
    <s v="Growth"/>
    <s v="Savings for Future"/>
    <s v="1-3 years"/>
    <x v="1"/>
    <s v="20%-30%"/>
    <x v="1"/>
    <x v="0"/>
    <s v="Capital Appreciation"/>
    <s v="Fund Diversification"/>
    <s v="Safe Investment"/>
    <s v="Fixed Returns"/>
    <s v="Television"/>
    <x v="0"/>
    <s v="no"/>
    <n v="25"/>
  </r>
  <r>
    <x v="1"/>
    <x v="8"/>
    <s v="Yes"/>
    <n v="1"/>
    <n v="3"/>
    <n v="7"/>
    <n v="4"/>
    <n v="5"/>
    <n v="2"/>
    <n v="6"/>
    <s v="Yes"/>
    <s v="Returns"/>
    <s v="Capital Appreciation"/>
    <s v="Wealth Creation"/>
    <s v="3-5 years"/>
    <x v="0"/>
    <s v="30%-40%"/>
    <x v="2"/>
    <x v="0"/>
    <s v="Capital Appreciation"/>
    <s v="Fund Diversification"/>
    <s v="Assured Returns"/>
    <s v="Fixed Returns"/>
    <s v="Newspapers and Magazines"/>
    <x v="0"/>
    <s v="no"/>
    <n v="35"/>
  </r>
  <r>
    <x v="0"/>
    <x v="7"/>
    <s v="Yes"/>
    <n v="2"/>
    <n v="4"/>
    <n v="7"/>
    <n v="5"/>
    <n v="3"/>
    <n v="1"/>
    <n v="6"/>
    <s v="Yes"/>
    <s v="Risk"/>
    <s v="Growth"/>
    <s v="Savings for Future"/>
    <s v="3-5 years"/>
    <x v="0"/>
    <s v="20%-30%"/>
    <x v="0"/>
    <x v="0"/>
    <s v="Capital Appreciation"/>
    <s v="Better Returns"/>
    <s v="Assured Returns"/>
    <s v="Risk Free"/>
    <s v="Financial Consultants"/>
    <x v="0"/>
    <s v="no"/>
    <n v="25"/>
  </r>
  <r>
    <x v="1"/>
    <x v="9"/>
    <s v="Yes"/>
    <n v="2"/>
    <n v="5"/>
    <n v="7"/>
    <n v="6"/>
    <n v="3"/>
    <n v="1"/>
    <n v="4"/>
    <s v="Yes"/>
    <s v="Risk"/>
    <s v="Capital Appreciation"/>
    <s v="Wealth Creation"/>
    <s v="1-3 years"/>
    <x v="0"/>
    <s v="20%-30%"/>
    <x v="0"/>
    <x v="0"/>
    <s v="Capital Appreciation"/>
    <s v="Fund Diversification"/>
    <s v="Assured Returns"/>
    <s v="Fixed Returns"/>
    <s v="Financial Consultants"/>
    <x v="1"/>
    <s v="yes"/>
    <n v="25"/>
  </r>
  <r>
    <x v="0"/>
    <x v="6"/>
    <s v="No"/>
    <n v="1"/>
    <n v="2"/>
    <n v="3"/>
    <n v="4"/>
    <n v="5"/>
    <n v="6"/>
    <n v="7"/>
    <s v="No"/>
    <s v="Returns"/>
    <s v="Capital Appreciation"/>
    <s v="Savings for Future"/>
    <s v="1-3 years"/>
    <x v="1"/>
    <s v="20%-30%"/>
    <x v="0"/>
    <x v="2"/>
    <s v="Dividend"/>
    <s v="Better Returns"/>
    <s v="Safe Investment"/>
    <s v="Risk Free"/>
    <s v="Internet"/>
    <x v="1"/>
    <s v="yes"/>
    <n v="25"/>
  </r>
  <r>
    <x v="0"/>
    <x v="10"/>
    <s v="Yes"/>
    <n v="2"/>
    <n v="3"/>
    <n v="7"/>
    <n v="4"/>
    <n v="5"/>
    <n v="1"/>
    <n v="6"/>
    <s v="Yes"/>
    <s v="Returns"/>
    <s v="Capital Appreciation"/>
    <s v="Wealth Creation"/>
    <s v="1-3 years"/>
    <x v="0"/>
    <s v="20%-30%"/>
    <x v="0"/>
    <x v="0"/>
    <s v="Capital Appreciation"/>
    <s v="Fund Diversification"/>
    <s v="Assured Returns"/>
    <s v="Risk Free"/>
    <s v="Newspapers and Magazines"/>
    <x v="1"/>
    <s v="no"/>
    <n v="25"/>
  </r>
  <r>
    <x v="0"/>
    <x v="11"/>
    <s v="Yes"/>
    <n v="2"/>
    <n v="3"/>
    <n v="7"/>
    <n v="5"/>
    <n v="4"/>
    <n v="1"/>
    <n v="6"/>
    <s v="Yes"/>
    <s v="Returns"/>
    <s v="Capital Appreciation"/>
    <s v="Wealth Creation"/>
    <s v="1-3 years"/>
    <x v="0"/>
    <s v="20%-30%"/>
    <x v="2"/>
    <x v="1"/>
    <s v="Dividend"/>
    <s v="Better Returns"/>
    <s v="Assured Returns"/>
    <s v="Risk Free"/>
    <s v="Financial Consultants"/>
    <x v="1"/>
    <s v="no"/>
    <n v="25"/>
  </r>
  <r>
    <x v="1"/>
    <x v="5"/>
    <s v="Yes"/>
    <n v="2"/>
    <n v="3"/>
    <n v="7"/>
    <n v="5"/>
    <n v="4"/>
    <n v="1"/>
    <n v="6"/>
    <s v="Yes"/>
    <s v="Returns"/>
    <s v="Capital Appreciation"/>
    <s v="Wealth Creation"/>
    <s v="1-3 years"/>
    <x v="0"/>
    <s v="20%-30%"/>
    <x v="0"/>
    <x v="1"/>
    <s v="Capital Appreciation"/>
    <s v="Fund Diversification"/>
    <s v="Assured Returns"/>
    <s v="Risk Free"/>
    <s v="Newspapers and Magazines"/>
    <x v="1"/>
    <s v="no"/>
    <n v="25"/>
  </r>
  <r>
    <x v="0"/>
    <x v="10"/>
    <s v="Yes"/>
    <n v="3"/>
    <n v="2"/>
    <n v="7"/>
    <n v="5"/>
    <n v="4"/>
    <n v="1"/>
    <n v="6"/>
    <s v="Yes"/>
    <s v="Risk"/>
    <s v="Growth"/>
    <s v="Wealth Creation"/>
    <s v="1-3 years"/>
    <x v="0"/>
    <s v="20%-30%"/>
    <x v="2"/>
    <x v="1"/>
    <s v="Capital Appreciation"/>
    <s v="Fund Diversification"/>
    <s v="Assured Returns"/>
    <s v="Risk Free"/>
    <s v="Television"/>
    <x v="1"/>
    <s v="no"/>
    <n v="25"/>
  </r>
  <r>
    <x v="1"/>
    <x v="5"/>
    <s v="Yes"/>
    <n v="3"/>
    <n v="2"/>
    <n v="7"/>
    <n v="4"/>
    <n v="5"/>
    <n v="1"/>
    <n v="6"/>
    <s v="Yes"/>
    <s v="Returns"/>
    <s v="Capital Appreciation"/>
    <s v="Wealth Creation"/>
    <s v="1-3 years"/>
    <x v="0"/>
    <s v="20%-30%"/>
    <x v="0"/>
    <x v="0"/>
    <s v="Capital Appreciation"/>
    <s v="Better Returns"/>
    <s v="Assured Returns"/>
    <s v="Risk Free"/>
    <s v="Financial Consultants"/>
    <x v="1"/>
    <s v="no"/>
    <n v="25"/>
  </r>
  <r>
    <x v="1"/>
    <x v="9"/>
    <s v="Yes"/>
    <n v="3"/>
    <n v="2"/>
    <n v="7"/>
    <n v="4"/>
    <n v="5"/>
    <n v="1"/>
    <n v="6"/>
    <s v="Yes"/>
    <s v="Risk"/>
    <s v="Capital Appreciation"/>
    <s v="Wealth Creation"/>
    <s v="1-3 years"/>
    <x v="0"/>
    <s v="20%-30%"/>
    <x v="0"/>
    <x v="0"/>
    <s v="Capital Appreciation"/>
    <s v="Better Returns"/>
    <s v="Assured Returns"/>
    <s v="Risk Free"/>
    <s v="Newspapers and Magazines"/>
    <x v="1"/>
    <s v="no"/>
    <n v="25"/>
  </r>
  <r>
    <x v="1"/>
    <x v="12"/>
    <s v="Yes"/>
    <n v="3"/>
    <n v="4"/>
    <n v="6"/>
    <n v="5"/>
    <n v="1"/>
    <n v="2"/>
    <n v="7"/>
    <s v="Yes"/>
    <s v="Risk"/>
    <s v="Capital Appreciation"/>
    <s v="Wealth Creation"/>
    <s v="3-5 years"/>
    <x v="0"/>
    <s v="20%-30%"/>
    <x v="2"/>
    <x v="1"/>
    <s v="Capital Appreciation"/>
    <s v="Fund Diversification"/>
    <s v="Assured Returns"/>
    <s v="Risk Free"/>
    <s v="Newspapers and Magazines"/>
    <x v="1"/>
    <s v="no"/>
    <n v="25"/>
  </r>
  <r>
    <x v="1"/>
    <x v="9"/>
    <s v="Yes"/>
    <n v="2"/>
    <n v="4"/>
    <n v="7"/>
    <n v="5"/>
    <n v="3"/>
    <n v="1"/>
    <n v="6"/>
    <s v="Yes"/>
    <s v="Returns"/>
    <s v="Growth"/>
    <s v="Wealth Creation"/>
    <s v="3-5 years"/>
    <x v="1"/>
    <s v="20%-30%"/>
    <x v="0"/>
    <x v="0"/>
    <s v="Capital Appreciation"/>
    <s v="Better Returns"/>
    <s v="Assured Returns"/>
    <s v="Fixed Returns"/>
    <s v="Financial Consultants"/>
    <x v="1"/>
    <s v="no"/>
    <n v="25"/>
  </r>
  <r>
    <x v="0"/>
    <x v="4"/>
    <s v="Yes"/>
    <n v="2"/>
    <n v="4"/>
    <n v="5"/>
    <n v="6"/>
    <n v="3"/>
    <n v="1"/>
    <n v="7"/>
    <s v="Yes"/>
    <s v="Risk"/>
    <s v="Capital Appreciation"/>
    <s v="Wealth Creation"/>
    <s v="3-5 years"/>
    <x v="0"/>
    <s v="20%-30%"/>
    <x v="1"/>
    <x v="1"/>
    <s v="Capital Appreciation"/>
    <s v="Better Returns"/>
    <s v="Assured Returns"/>
    <s v="Risk Free"/>
    <s v="Newspapers and Magazines"/>
    <x v="1"/>
    <s v="yes"/>
    <n v="25"/>
  </r>
  <r>
    <x v="1"/>
    <x v="5"/>
    <s v="Yes"/>
    <n v="3"/>
    <n v="4"/>
    <n v="6"/>
    <n v="5"/>
    <n v="2"/>
    <n v="1"/>
    <n v="7"/>
    <s v="Yes"/>
    <s v="Returns"/>
    <s v="Capital Appreciation"/>
    <s v="Wealth Creation"/>
    <s v="3-5 years"/>
    <x v="0"/>
    <s v="20%-30%"/>
    <x v="0"/>
    <x v="0"/>
    <s v="Capital Appreciation"/>
    <s v="Better Returns"/>
    <s v="Assured Returns"/>
    <s v="Risk Free"/>
    <s v="Financial Consultants"/>
    <x v="1"/>
    <s v="no"/>
    <n v="25"/>
  </r>
  <r>
    <x v="1"/>
    <x v="11"/>
    <s v="Yes"/>
    <n v="2"/>
    <n v="4"/>
    <n v="6"/>
    <n v="5"/>
    <n v="3"/>
    <n v="1"/>
    <n v="7"/>
    <s v="Yes"/>
    <s v="Risk"/>
    <s v="Growth"/>
    <s v="Savings for Future"/>
    <s v="3-5 years"/>
    <x v="1"/>
    <s v="20%-30%"/>
    <x v="3"/>
    <x v="1"/>
    <s v="Liquidity"/>
    <s v="Better Returns"/>
    <s v="Assured Returns"/>
    <s v="Risk Free"/>
    <s v="Financial Consultants"/>
    <x v="1"/>
    <s v="no"/>
    <n v="25"/>
  </r>
  <r>
    <x v="0"/>
    <x v="12"/>
    <s v="Yes"/>
    <n v="2"/>
    <n v="3"/>
    <n v="7"/>
    <n v="5"/>
    <n v="4"/>
    <n v="1"/>
    <n v="6"/>
    <s v="Yes"/>
    <s v="Returns"/>
    <s v="Capital Appreciation"/>
    <s v="Wealth Creation"/>
    <s v="3-5 years"/>
    <x v="0"/>
    <s v="30%-40%"/>
    <x v="3"/>
    <x v="0"/>
    <s v="Capital Appreciation"/>
    <s v="Better Returns"/>
    <s v="Assured Returns"/>
    <s v="Risk Free"/>
    <s v="Newspapers and Magazines"/>
    <x v="1"/>
    <s v="no"/>
    <n v="35"/>
  </r>
  <r>
    <x v="0"/>
    <x v="13"/>
    <s v="Yes"/>
    <n v="3"/>
    <n v="4"/>
    <n v="7"/>
    <n v="5"/>
    <n v="1"/>
    <n v="2"/>
    <n v="6"/>
    <s v="Yes"/>
    <s v="Risk"/>
    <s v="Growth"/>
    <s v="Wealth Creation"/>
    <s v="3-5 years"/>
    <x v="0"/>
    <s v="20%-30%"/>
    <x v="0"/>
    <x v="0"/>
    <s v="Capital Appreciation"/>
    <s v="Better Returns"/>
    <s v="Assured Returns"/>
    <s v="Fixed Returns"/>
    <s v="Financial Consultants"/>
    <x v="0"/>
    <s v="no"/>
    <n v="25"/>
  </r>
  <r>
    <x v="1"/>
    <x v="12"/>
    <s v="Yes"/>
    <n v="3"/>
    <n v="4"/>
    <n v="6"/>
    <n v="5"/>
    <n v="1"/>
    <n v="2"/>
    <n v="7"/>
    <s v="Yes"/>
    <s v="Returns"/>
    <s v="Capital Appreciation"/>
    <s v="Wealth Creation"/>
    <s v="3-5 years"/>
    <x v="0"/>
    <s v="20%-30%"/>
    <x v="0"/>
    <x v="0"/>
    <s v="Dividend"/>
    <s v="Fund Diversification"/>
    <s v="Assured Returns"/>
    <s v="Fixed Returns"/>
    <s v="Financial Consultants"/>
    <x v="1"/>
    <s v="no"/>
    <n v="25"/>
  </r>
  <r>
    <x v="1"/>
    <x v="8"/>
    <s v="Yes"/>
    <n v="2"/>
    <n v="3"/>
    <n v="7"/>
    <n v="6"/>
    <n v="4"/>
    <n v="1"/>
    <n v="5"/>
    <s v="Yes"/>
    <s v="Risk"/>
    <s v="Growth"/>
    <s v="Savings for Future"/>
    <s v="1-3 years"/>
    <x v="0"/>
    <s v="20%-30%"/>
    <x v="2"/>
    <x v="1"/>
    <s v="Capital Appreciation"/>
    <s v="Fund Diversification"/>
    <s v="Safe Investment"/>
    <s v="Fixed Returns"/>
    <s v="Television"/>
    <x v="0"/>
    <s v="yes"/>
    <n v="25"/>
  </r>
  <r>
    <x v="1"/>
    <x v="9"/>
    <s v="Yes"/>
    <n v="2"/>
    <n v="3"/>
    <n v="6"/>
    <n v="5"/>
    <n v="1"/>
    <n v="4"/>
    <n v="7"/>
    <s v="Yes"/>
    <s v="Returns"/>
    <s v="Capital Appreciation"/>
    <s v="Wealth Creation"/>
    <s v="1-3 years"/>
    <x v="0"/>
    <s v="20%-30%"/>
    <x v="1"/>
    <x v="0"/>
    <s v="Capital Appreciation"/>
    <s v="Better Returns"/>
    <s v="Assured Returns"/>
    <s v="Risk Free"/>
    <s v="Television"/>
    <x v="1"/>
    <s v="no"/>
    <n v="25"/>
  </r>
  <r>
    <x v="0"/>
    <x v="0"/>
    <s v="Yes"/>
    <n v="5"/>
    <n v="4"/>
    <n v="3"/>
    <n v="2"/>
    <n v="7"/>
    <n v="1"/>
    <n v="6"/>
    <s v="Yes"/>
    <s v="Returns"/>
    <s v="Income"/>
    <s v="Returns"/>
    <s v="3-5 years"/>
    <x v="0"/>
    <s v="10%-20%"/>
    <x v="0"/>
    <x v="0"/>
    <s v="Capital Appreciation"/>
    <s v="Tax Benefits"/>
    <s v="Safe Investment"/>
    <s v="Fixed Returns"/>
    <s v="Newspapers and Magazines"/>
    <x v="0"/>
    <s v="yes"/>
    <n v="15"/>
  </r>
  <r>
    <x v="1"/>
    <x v="5"/>
    <s v="Yes"/>
    <n v="4"/>
    <n v="5"/>
    <n v="1"/>
    <n v="2"/>
    <n v="7"/>
    <n v="3"/>
    <n v="6"/>
    <s v="No"/>
    <s v="Returns"/>
    <s v="Growth"/>
    <s v="Wealth Creation"/>
    <s v="1-3 years"/>
    <x v="0"/>
    <s v="10%-20%"/>
    <x v="0"/>
    <x v="2"/>
    <s v="Capital Appreciation"/>
    <s v="Tax Benefits"/>
    <s v="Safe Investment"/>
    <s v="Fixed Returns"/>
    <s v="Television"/>
    <x v="1"/>
    <s v="yes"/>
    <n v="15"/>
  </r>
  <r>
    <x v="0"/>
    <x v="8"/>
    <s v="Yes"/>
    <n v="2"/>
    <n v="4"/>
    <n v="7"/>
    <n v="6"/>
    <n v="3"/>
    <n v="1"/>
    <n v="5"/>
    <s v="Yes"/>
    <s v="Returns"/>
    <s v="Capital Appreciation"/>
    <s v="Wealth Creation"/>
    <s v="3-5 years"/>
    <x v="0"/>
    <s v="20%-30%"/>
    <x v="2"/>
    <x v="0"/>
    <s v="Capital Appreciation"/>
    <s v="Better Returns"/>
    <s v="Assured Returns"/>
    <s v="Fixed Returns"/>
    <s v="Financial Consultants"/>
    <x v="0"/>
    <s v="yes"/>
    <n v="25"/>
  </r>
  <r>
    <x v="1"/>
    <x v="5"/>
    <s v="Yes"/>
    <n v="2"/>
    <n v="4"/>
    <n v="7"/>
    <n v="5"/>
    <n v="1"/>
    <n v="3"/>
    <n v="6"/>
    <s v="Yes"/>
    <s v="Returns"/>
    <s v="Capital Appreciation"/>
    <s v="Wealth Creation"/>
    <s v="3-5 years"/>
    <x v="0"/>
    <s v="30%-40%"/>
    <x v="1"/>
    <x v="1"/>
    <s v="Capital Appreciation"/>
    <s v="Fund Diversification"/>
    <s v="Assured Returns"/>
    <s v="Fixed Returns"/>
    <s v="Newspapers and Magazines"/>
    <x v="1"/>
    <s v="no"/>
    <n v="35"/>
  </r>
  <r>
    <x v="1"/>
    <x v="12"/>
    <s v="Yes"/>
    <n v="2"/>
    <n v="3"/>
    <n v="6"/>
    <n v="4"/>
    <n v="1"/>
    <n v="5"/>
    <n v="7"/>
    <s v="Yes"/>
    <s v="Returns"/>
    <s v="Capital Appreciation"/>
    <s v="Returns"/>
    <s v="1-3 years"/>
    <x v="0"/>
    <s v="20%-30%"/>
    <x v="2"/>
    <x v="2"/>
    <s v="Dividend"/>
    <s v="Better Returns"/>
    <s v="Safe Investment"/>
    <s v="Risk Free"/>
    <s v="Newspapers and Magazines"/>
    <x v="1"/>
    <s v="no"/>
    <n v="25"/>
  </r>
  <r>
    <x v="1"/>
    <x v="5"/>
    <s v="Yes"/>
    <n v="2"/>
    <n v="3"/>
    <n v="6"/>
    <n v="5"/>
    <n v="4"/>
    <n v="1"/>
    <n v="7"/>
    <s v="Yes"/>
    <s v="Returns"/>
    <s v="Capital Appreciation"/>
    <s v="Wealth Creation"/>
    <s v="1-3 years"/>
    <x v="1"/>
    <s v="20%-30%"/>
    <x v="0"/>
    <x v="1"/>
    <s v="Capital Appreciation"/>
    <s v="Better Returns"/>
    <s v="Safe Investment"/>
    <s v="Fixed Returns"/>
    <s v="Financial Consultants"/>
    <x v="1"/>
    <s v="no"/>
    <n v="25"/>
  </r>
  <r>
    <x v="1"/>
    <x v="2"/>
    <s v="Yes"/>
    <n v="1"/>
    <n v="4"/>
    <n v="6"/>
    <n v="5"/>
    <n v="3"/>
    <n v="2"/>
    <n v="7"/>
    <s v="Yes"/>
    <s v="Risk"/>
    <s v="Growth"/>
    <s v="Wealth Creation"/>
    <s v="3-5 years"/>
    <x v="0"/>
    <s v="20%-30%"/>
    <x v="2"/>
    <x v="1"/>
    <s v="Capital Appreciation"/>
    <s v="Better Returns"/>
    <s v="Assured Returns"/>
    <s v="Fixed Returns"/>
    <s v="Financial Consultants"/>
    <x v="1"/>
    <s v="no"/>
    <n v="25"/>
  </r>
  <r>
    <x v="1"/>
    <x v="2"/>
    <s v="Yes"/>
    <n v="2"/>
    <n v="4"/>
    <n v="7"/>
    <n v="5"/>
    <n v="1"/>
    <n v="3"/>
    <n v="6"/>
    <s v="Yes"/>
    <s v="Returns"/>
    <s v="Capital Appreciation"/>
    <s v="Wealth Creation"/>
    <s v="1-3 years"/>
    <x v="0"/>
    <s v="20%-30%"/>
    <x v="1"/>
    <x v="0"/>
    <s v="Capital Appreciation"/>
    <s v="Better Returns"/>
    <s v="Assured Returns"/>
    <s v="Risk Free"/>
    <s v="Newspapers and Magazines"/>
    <x v="1"/>
    <s v="no"/>
    <n v="25"/>
  </r>
  <r>
    <x v="1"/>
    <x v="11"/>
    <s v="Yes"/>
    <n v="5"/>
    <n v="4"/>
    <n v="7"/>
    <n v="6"/>
    <n v="1"/>
    <n v="2"/>
    <n v="3"/>
    <s v="Yes"/>
    <s v="Risk"/>
    <s v="Growth"/>
    <s v="Savings for Future"/>
    <s v="3-5 years"/>
    <x v="0"/>
    <s v="30%-40%"/>
    <x v="3"/>
    <x v="1"/>
    <s v="Capital Appreciation"/>
    <s v="Better Returns"/>
    <s v="Safe Investment"/>
    <s v="Fixed Returns"/>
    <s v="Financial Consultants"/>
    <x v="1"/>
    <s v="yes"/>
    <n v="35"/>
  </r>
  <r>
    <x v="1"/>
    <x v="8"/>
    <s v="Yes"/>
    <n v="2"/>
    <n v="4"/>
    <n v="7"/>
    <n v="5"/>
    <n v="3"/>
    <n v="1"/>
    <n v="6"/>
    <s v="Yes"/>
    <s v="Risk"/>
    <s v="Growth"/>
    <s v="Wealth Creation"/>
    <s v="1-3 years"/>
    <x v="1"/>
    <s v="20%-30%"/>
    <x v="1"/>
    <x v="1"/>
    <s v="Dividend"/>
    <s v="Fund Diversification"/>
    <s v="Assured Returns"/>
    <s v="Fixed Returns"/>
    <s v="Newspapers and Magazines"/>
    <x v="0"/>
    <s v="no"/>
    <n v="25"/>
  </r>
  <r>
    <x v="1"/>
    <x v="9"/>
    <s v="Yes"/>
    <n v="4"/>
    <n v="3"/>
    <n v="5"/>
    <n v="7"/>
    <n v="2"/>
    <n v="1"/>
    <n v="6"/>
    <s v="Yes"/>
    <s v="Returns"/>
    <s v="Capital Appreciation"/>
    <s v="Wealth Creation"/>
    <s v="3-5 years"/>
    <x v="0"/>
    <s v="20%-30%"/>
    <x v="2"/>
    <x v="0"/>
    <s v="Dividend"/>
    <s v="Better Returns"/>
    <s v="Safe Investment"/>
    <s v="Fixed Returns"/>
    <s v="Financial Consultants"/>
    <x v="1"/>
    <s v="yes"/>
    <n v="25"/>
  </r>
  <r>
    <x v="2"/>
    <x v="14"/>
    <m/>
    <n v="102"/>
    <n v="139"/>
    <n v="230"/>
    <n v="186"/>
    <n v="143"/>
    <n v="81"/>
    <n v="239"/>
    <m/>
    <m/>
    <m/>
    <m/>
    <m/>
    <x v="3"/>
    <m/>
    <x v="4"/>
    <x v="3"/>
    <m/>
    <m/>
    <m/>
    <m/>
    <m/>
    <x v="2"/>
    <m/>
    <m/>
  </r>
  <r>
    <x v="2"/>
    <x v="14"/>
    <m/>
    <m/>
    <m/>
    <m/>
    <m/>
    <m/>
    <m/>
    <m/>
    <m/>
    <m/>
    <m/>
    <m/>
    <m/>
    <x v="3"/>
    <m/>
    <x v="4"/>
    <x v="3"/>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A84A6-5EBC-4CC1-B6A5-09DC3164F081}" name="PivotTable2" cacheId="0" dataOnRows="1" applyNumberFormats="0" applyBorderFormats="0" applyFontFormats="0" applyPatternFormats="0" applyAlignmentFormats="0" applyWidthHeightFormats="1" dataCaption="5. COUNT of Values" updatedVersion="8" minRefreshableVersion="3" itemPrintTitles="1" createdVersion="8" indent="0" outline="1" outlineData="1" multipleFieldFilters="0">
  <location ref="G18:H21" firstHeaderRow="1" firstDataRow="1" firstDataCol="1"/>
  <pivotFields count="24">
    <pivotField showAll="0">
      <items count="4">
        <item x="0"/>
        <item x="1"/>
        <item x="2"/>
        <item t="default"/>
      </items>
    </pivotField>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i="1">
      <x v="1"/>
    </i>
    <i i="2">
      <x v="2"/>
    </i>
  </rowItems>
  <colItems count="1">
    <i/>
  </colItems>
  <dataFields count="3">
    <dataField name="Count of Mutual_Funds" fld="3" subtotal="count" baseField="0" baseItem="0"/>
    <dataField name="Count of Equity_Market" fld="4" subtotal="count" baseField="0" baseItem="0"/>
    <dataField name="Count of Fixed_Deposits" fld="7" subtotal="count" baseField="0" baseItem="0"/>
  </dataFields>
  <formats count="10">
    <format dxfId="322">
      <pivotArea type="all" dataOnly="0" outline="0" fieldPosition="0"/>
    </format>
    <format dxfId="321">
      <pivotArea outline="0" collapsedLevelsAreSubtotals="1" fieldPosition="0"/>
    </format>
    <format dxfId="320">
      <pivotArea field="-2" type="button" dataOnly="0" labelOnly="1" outline="0" axis="axisRow" fieldPosition="0"/>
    </format>
    <format dxfId="319">
      <pivotArea dataOnly="0" labelOnly="1" outline="0" fieldPosition="0">
        <references count="1">
          <reference field="4294967294" count="3">
            <x v="0"/>
            <x v="1"/>
            <x v="2"/>
          </reference>
        </references>
      </pivotArea>
    </format>
    <format dxfId="318">
      <pivotArea dataOnly="0" labelOnly="1" grandCol="1" outline="0" axis="axisCol" fieldPosition="0"/>
    </format>
    <format dxfId="317">
      <pivotArea field="-2" type="button" dataOnly="0" labelOnly="1" outline="0" axis="axisRow" fieldPosition="0"/>
    </format>
    <format dxfId="316">
      <pivotArea dataOnly="0" labelOnly="1" grandCol="1" outline="0" axis="axisCol" fieldPosition="0"/>
    </format>
    <format dxfId="315">
      <pivotArea field="-2" type="button" dataOnly="0" labelOnly="1" outline="0" axis="axisRow" fieldPosition="0"/>
    </format>
    <format dxfId="314">
      <pivotArea dataOnly="0" labelOnly="1" grandCol="1" outline="0" axis="axisCol" fieldPosition="0"/>
    </format>
    <format dxfId="313">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B4E6B-50E2-454C-B83B-4A8FF7AC08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7. Top 3 savings objectives. ">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axis="axisRow" dataField="1" showAll="0" measureFilter="1">
      <items count="5">
        <item x="2"/>
        <item x="1"/>
        <item x="0"/>
        <item x="3"/>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Value" fld="18" subtotal="count" baseField="0" baseItem="0"/>
  </dataFields>
  <formats count="6">
    <format dxfId="328">
      <pivotArea type="all" dataOnly="0" outline="0" fieldPosition="0"/>
    </format>
    <format dxfId="327">
      <pivotArea outline="0" collapsedLevelsAreSubtotals="1" fieldPosition="0"/>
    </format>
    <format dxfId="326">
      <pivotArea field="18" type="button" dataOnly="0" labelOnly="1" outline="0" axis="axisRow" fieldPosition="0"/>
    </format>
    <format dxfId="325">
      <pivotArea dataOnly="0" labelOnly="1" fieldPosition="0">
        <references count="1">
          <reference field="18" count="3">
            <x v="0"/>
            <x v="1"/>
            <x v="2"/>
          </reference>
        </references>
      </pivotArea>
    </format>
    <format dxfId="324">
      <pivotArea dataOnly="0" labelOnly="1" grandRow="1" outline="0" fieldPosition="0"/>
    </format>
    <format dxfId="32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CE471-3CE1-461A-90E7-0DBD8E4FF1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6. Gender VS Investment Avenues" colHeaderCaption="">
  <location ref="G3:J7" firstHeaderRow="1" firstDataRow="2" firstDataCol="1"/>
  <pivotFields count="24">
    <pivotField axis="axisRow" showAll="0">
      <items count="4">
        <item x="0"/>
        <item x="1"/>
        <item h="1" x="2"/>
        <item t="default"/>
      </items>
    </pivotField>
    <pivotField showAll="0"/>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2"/>
  </colFields>
  <colItems count="3">
    <i>
      <x/>
    </i>
    <i>
      <x v="1"/>
    </i>
    <i t="grand">
      <x/>
    </i>
  </colItems>
  <dataFields count="1">
    <dataField name="Count" fld="2" subtotal="count" baseField="0" baseItem="0"/>
  </dataFields>
  <formats count="14">
    <format dxfId="342">
      <pivotArea type="origin" dataOnly="0" labelOnly="1" outline="0" fieldPosition="0"/>
    </format>
    <format dxfId="341">
      <pivotArea type="topRight" dataOnly="0" labelOnly="1" outline="0" offset="B1" fieldPosition="0"/>
    </format>
    <format dxfId="340">
      <pivotArea type="topRight" dataOnly="0" labelOnly="1" outline="0" offset="A1" fieldPosition="0"/>
    </format>
    <format dxfId="339">
      <pivotArea outline="0" collapsedLevelsAreSubtotals="1" fieldPosition="0"/>
    </format>
    <format dxfId="338">
      <pivotArea field="0" type="button" dataOnly="0" labelOnly="1" outline="0" axis="axisRow" fieldPosition="0"/>
    </format>
    <format dxfId="337">
      <pivotArea dataOnly="0" labelOnly="1" fieldPosition="0">
        <references count="1">
          <reference field="0" count="0"/>
        </references>
      </pivotArea>
    </format>
    <format dxfId="336">
      <pivotArea dataOnly="0" labelOnly="1" grandRow="1" outline="0" fieldPosition="0"/>
    </format>
    <format dxfId="335">
      <pivotArea dataOnly="0" labelOnly="1" fieldPosition="0">
        <references count="1">
          <reference field="2" count="0"/>
        </references>
      </pivotArea>
    </format>
    <format dxfId="334">
      <pivotArea dataOnly="0" labelOnly="1" grandCol="1" outline="0" fieldPosition="0"/>
    </format>
    <format dxfId="333">
      <pivotArea field="0" type="button" dataOnly="0" labelOnly="1" outline="0" axis="axisRow" fieldPosition="0"/>
    </format>
    <format dxfId="332">
      <pivotArea dataOnly="0" labelOnly="1" fieldPosition="0">
        <references count="1">
          <reference field="2" count="0"/>
        </references>
      </pivotArea>
    </format>
    <format dxfId="331">
      <pivotArea dataOnly="0" labelOnly="1" grandCol="1" outline="0" fieldPosition="0"/>
    </format>
    <format dxfId="330">
      <pivotArea type="origin" dataOnly="0" labelOnly="1" outline="0" fieldPosition="0"/>
    </format>
    <format dxfId="3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0D0C58-509E-4BD2-8417-8F5DC9DD86B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uration of Inv">
  <location ref="F16:G21" firstHeaderRow="1" firstDataRow="1" firstDataCol="1"/>
  <pivotFields count="26">
    <pivotField showAll="0">
      <items count="4">
        <item x="0"/>
        <item x="1"/>
        <item x="2"/>
        <item t="default"/>
      </items>
    </pivotField>
    <pivotField showAll="0">
      <items count="16">
        <item x="6"/>
        <item x="3"/>
        <item x="1"/>
        <item x="4"/>
        <item x="11"/>
        <item x="12"/>
        <item x="5"/>
        <item x="10"/>
        <item x="9"/>
        <item x="2"/>
        <item x="8"/>
        <item x="13"/>
        <item x="0"/>
        <item x="7"/>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3"/>
        <item x="1"/>
        <item h="1" x="4"/>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Avenue" fld="17" subtotal="count" baseField="0" baseItem="0"/>
  </dataFields>
  <formats count="4">
    <format dxfId="298">
      <pivotArea field="14" type="button" dataOnly="0" labelOnly="1" outline="0" axis="axisRow" fieldPosition="0"/>
    </format>
    <format dxfId="297">
      <pivotArea dataOnly="0" labelOnly="1" outline="0" axis="axisValues" fieldPosition="0"/>
    </format>
    <format dxfId="296">
      <pivotArea dataOnly="0" labelOnly="1" grandRow="1" outline="0" fieldPosition="0"/>
    </format>
    <format dxfId="29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0BCDCB-4198-40B9-9B68-E09C78C862E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Group">
  <location ref="A3:D7" firstHeaderRow="0" firstDataRow="1" firstDataCol="1"/>
  <pivotFields count="25">
    <pivotField showAll="0"/>
    <pivotField showAll="0"/>
    <pivotField showAll="0"/>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h="1" x="3"/>
        <item t="default"/>
      </items>
    </pivotField>
  </pivotFields>
  <rowFields count="1">
    <field x="24"/>
  </rowFields>
  <rowItems count="4">
    <i>
      <x/>
    </i>
    <i>
      <x v="1"/>
    </i>
    <i>
      <x v="2"/>
    </i>
    <i t="grand">
      <x/>
    </i>
  </rowItems>
  <colFields count="1">
    <field x="-2"/>
  </colFields>
  <colItems count="3">
    <i>
      <x/>
    </i>
    <i i="1">
      <x v="1"/>
    </i>
    <i i="2">
      <x v="2"/>
    </i>
  </colItems>
  <dataFields count="3">
    <dataField name="Sum of Mutual_Funds" fld="3" baseField="24" baseItem="0"/>
    <dataField name="Sum of Gold" fld="9" baseField="24" baseItem="0"/>
    <dataField name="Sum of Fixed_Deposits" fld="7" baseField="24" baseItem="0"/>
  </dataFields>
  <formats count="4">
    <format dxfId="302">
      <pivotArea field="24" type="button" dataOnly="0" labelOnly="1" outline="0" axis="axisRow" fieldPosition="0"/>
    </format>
    <format dxfId="301">
      <pivotArea dataOnly="0" labelOnly="1" outline="0" fieldPosition="0">
        <references count="1">
          <reference field="4294967294" count="3">
            <x v="0"/>
            <x v="1"/>
            <x v="2"/>
          </reference>
        </references>
      </pivotArea>
    </format>
    <format dxfId="300">
      <pivotArea grandRow="1" outline="0" collapsedLevelsAreSubtotals="1" fieldPosition="0"/>
    </format>
    <format dxfId="299">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783058-7CF8-4F7B-9539-3E839978B9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I14" firstHeaderRow="1" firstDataRow="2" firstDataCol="1"/>
  <pivotFields count="24">
    <pivotField axis="axisCol" showAll="0">
      <items count="4">
        <item x="0"/>
        <item x="1"/>
        <item h="1" x="2"/>
        <item t="default"/>
      </items>
    </pivotField>
    <pivotField showAll="0"/>
    <pivotField axis="axisRow" dataField="1" showAll="0">
      <items count="4">
        <item x="1"/>
        <item x="0"/>
        <item x="2"/>
        <item t="default"/>
      </items>
    </pivotField>
    <pivotField showAll="0">
      <items count="9">
        <item x="0"/>
        <item x="3"/>
        <item x="2"/>
        <item x="1"/>
        <item x="5"/>
        <item x="4"/>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0"/>
  </colFields>
  <colItems count="3">
    <i>
      <x/>
    </i>
    <i>
      <x v="1"/>
    </i>
    <i t="grand">
      <x/>
    </i>
  </colItems>
  <dataFields count="1">
    <dataField name="Count of Investment_Avenues" fld="2" subtotal="count" baseField="0" baseItem="0"/>
  </dataFields>
  <formats count="8">
    <format dxfId="310">
      <pivotArea type="origin" dataOnly="0" labelOnly="1" outline="0" fieldPosition="0"/>
    </format>
    <format dxfId="309">
      <pivotArea field="0" type="button" dataOnly="0" labelOnly="1" outline="0" axis="axisCol" fieldPosition="0"/>
    </format>
    <format dxfId="308">
      <pivotArea type="topRight" dataOnly="0" labelOnly="1" outline="0" fieldPosition="0"/>
    </format>
    <format dxfId="307">
      <pivotArea field="2" type="button" dataOnly="0" labelOnly="1" outline="0" axis="axisRow" fieldPosition="0"/>
    </format>
    <format dxfId="306">
      <pivotArea dataOnly="0" labelOnly="1" fieldPosition="0">
        <references count="1">
          <reference field="0" count="0"/>
        </references>
      </pivotArea>
    </format>
    <format dxfId="305">
      <pivotArea dataOnly="0" labelOnly="1" grandCol="1" outline="0" fieldPosition="0"/>
    </format>
    <format dxfId="304">
      <pivotArea grandRow="1" outline="0" collapsedLevelsAreSubtotals="1" fieldPosition="0"/>
    </format>
    <format dxfId="3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095AB9-1219-450B-AF8E-62F01204DB94}"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uration" colHeaderCaption="Age Group">
  <location ref="F3:I8" firstHeaderRow="1" firstDataRow="2" firstDataCol="1"/>
  <pivotFields count="27">
    <pivotField showAll="0">
      <items count="4">
        <item x="0"/>
        <item x="1"/>
        <item x="2"/>
        <item t="default"/>
      </items>
    </pivotField>
    <pivotField showAll="0">
      <items count="16">
        <item x="6"/>
        <item x="3"/>
        <item x="1"/>
        <item x="4"/>
        <item x="11"/>
        <item x="12"/>
        <item x="5"/>
        <item x="10"/>
        <item x="9"/>
        <item x="2"/>
        <item x="8"/>
        <item x="13"/>
        <item x="0"/>
        <item x="7"/>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axis="axisCol" dataField="1" showAll="0">
      <items count="4">
        <item x="1"/>
        <item x="0"/>
        <item h="1" x="2"/>
        <item t="default"/>
      </items>
    </pivotField>
    <pivotField showAll="0"/>
    <pivotField showAll="0"/>
  </pivotFields>
  <rowFields count="1">
    <field x="15"/>
  </rowFields>
  <rowItems count="4">
    <i>
      <x/>
    </i>
    <i>
      <x v="1"/>
    </i>
    <i>
      <x v="2"/>
    </i>
    <i t="grand">
      <x/>
    </i>
  </rowItems>
  <colFields count="1">
    <field x="24"/>
  </colFields>
  <colItems count="3">
    <i>
      <x/>
    </i>
    <i>
      <x v="1"/>
    </i>
    <i t="grand">
      <x/>
    </i>
  </colItems>
  <dataFields count="1">
    <dataField name="Frequency of Checking" fld="24" subtotal="count" baseField="0" baseItem="0"/>
  </dataFields>
  <formats count="7">
    <format dxfId="231">
      <pivotArea type="origin" dataOnly="0" labelOnly="1" outline="0" fieldPosition="0"/>
    </format>
    <format dxfId="232">
      <pivotArea field="24" type="button" dataOnly="0" labelOnly="1" outline="0" axis="axisCol" fieldPosition="0"/>
    </format>
    <format dxfId="233">
      <pivotArea type="topRight" dataOnly="0" labelOnly="1" outline="0" fieldPosition="0"/>
    </format>
    <format dxfId="234">
      <pivotArea field="15" type="button" dataOnly="0" labelOnly="1" outline="0" axis="axisRow" fieldPosition="0"/>
    </format>
    <format dxfId="235">
      <pivotArea dataOnly="0" labelOnly="1" fieldPosition="0">
        <references count="1">
          <reference field="24" count="0"/>
        </references>
      </pivotArea>
    </format>
    <format dxfId="236">
      <pivotArea dataOnly="0" labelOnly="1" grandCol="1" outline="0" fieldPosition="0"/>
    </format>
    <format dxfId="2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942F92-EC5D-4173-B3D7-4FA8C90A0273}"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pected Retuns">
  <location ref="K3:L8" firstHeaderRow="1" firstDataRow="1" firstDataCol="1"/>
  <pivotFields count="27">
    <pivotField showAll="0">
      <items count="4">
        <item x="0"/>
        <item x="1"/>
        <item x="2"/>
        <item t="default"/>
      </items>
    </pivotField>
    <pivotField showAll="0">
      <items count="16">
        <item x="6"/>
        <item x="3"/>
        <item x="1"/>
        <item x="4"/>
        <item x="11"/>
        <item x="12"/>
        <item x="5"/>
        <item x="10"/>
        <item x="9"/>
        <item x="2"/>
        <item x="8"/>
        <item x="13"/>
        <item x="0"/>
        <item x="7"/>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2"/>
        <item x="0"/>
        <item x="3"/>
        <item h="1" x="4"/>
        <item t="default"/>
      </items>
    </pivotField>
    <pivotField showAll="0"/>
    <pivotField showAll="0"/>
    <pivotField showAll="0"/>
    <pivotField showAll="0"/>
    <pivotField showAll="0"/>
    <pivotField showAll="0"/>
    <pivotField showAll="0"/>
    <pivotField showAll="0"/>
    <pivotField dataField="1" showAll="0"/>
  </pivotFields>
  <rowFields count="1">
    <field x="17"/>
  </rowFields>
  <rowItems count="5">
    <i>
      <x/>
    </i>
    <i>
      <x v="1"/>
    </i>
    <i>
      <x v="2"/>
    </i>
    <i>
      <x v="3"/>
    </i>
    <i t="grand">
      <x/>
    </i>
  </rowItems>
  <colItems count="1">
    <i/>
  </colItems>
  <dataFields count="1">
    <dataField name="AVG Return Value.." fld="26" subtotal="average" baseField="17" baseItem="0" numFmtId="1"/>
  </dataFields>
  <formats count="4">
    <format dxfId="238">
      <pivotArea field="17" type="button" dataOnly="0" labelOnly="1" outline="0" axis="axisRow" fieldPosition="0"/>
    </format>
    <format dxfId="239">
      <pivotArea dataOnly="0" labelOnly="1" outline="0" axis="axisValues" fieldPosition="0"/>
    </format>
    <format dxfId="240">
      <pivotArea grandRow="1" outline="0" collapsedLevelsAreSubtotals="1" fieldPosition="0"/>
    </format>
    <format dxfId="24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3D4B67-8036-48E4-A2A4-B59F7D632EE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sonality" colHeaderCaption="Gender">
  <location ref="L3:O11" firstHeaderRow="1" firstDataRow="2" firstDataCol="1"/>
  <pivotFields count="31">
    <pivotField axis="axisCol" showAll="0">
      <items count="4">
        <item x="0"/>
        <item x="1"/>
        <item h="1"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4">
        <item x="0"/>
        <item x="1"/>
        <item h="1" x="2"/>
        <item t="default"/>
      </items>
    </pivotField>
  </pivotFields>
  <rowFields count="2">
    <field x="30"/>
    <field x="29"/>
  </rowFields>
  <rowItems count="7">
    <i>
      <x/>
    </i>
    <i r="1">
      <x/>
    </i>
    <i r="1">
      <x v="1"/>
    </i>
    <i>
      <x v="1"/>
    </i>
    <i r="1">
      <x/>
    </i>
    <i r="1">
      <x v="1"/>
    </i>
    <i t="grand">
      <x/>
    </i>
  </rowItems>
  <colFields count="1">
    <field x="0"/>
  </colFields>
  <colItems count="3">
    <i>
      <x/>
    </i>
    <i>
      <x v="1"/>
    </i>
    <i t="grand">
      <x/>
    </i>
  </colItems>
  <dataFields count="1">
    <dataField name="Investor " fld="1" subtotal="count" baseField="0" baseItem="0"/>
  </dataFields>
  <formats count="18">
    <format dxfId="272">
      <pivotArea type="origin" dataOnly="0" labelOnly="1" outline="0" fieldPosition="0"/>
    </format>
    <format dxfId="271">
      <pivotArea field="0" type="button" dataOnly="0" labelOnly="1" outline="0" axis="axisCol" fieldPosition="0"/>
    </format>
    <format dxfId="270">
      <pivotArea type="topRight" dataOnly="0" labelOnly="1" outline="0" fieldPosition="0"/>
    </format>
    <format dxfId="269">
      <pivotArea field="30" type="button" dataOnly="0" labelOnly="1" outline="0" axis="axisRow" fieldPosition="0"/>
    </format>
    <format dxfId="268">
      <pivotArea dataOnly="0" labelOnly="1" fieldPosition="0">
        <references count="1">
          <reference field="0" count="0"/>
        </references>
      </pivotArea>
    </format>
    <format dxfId="267">
      <pivotArea dataOnly="0" labelOnly="1" grandCol="1" outline="0" fieldPosition="0"/>
    </format>
    <format dxfId="266">
      <pivotArea grandRow="1" outline="0" collapsedLevelsAreSubtotals="1" fieldPosition="0"/>
    </format>
    <format dxfId="265">
      <pivotArea dataOnly="0" labelOnly="1" grandRow="1" outline="0" fieldPosition="0"/>
    </format>
    <format dxfId="264">
      <pivotArea collapsedLevelsAreSubtotals="1" fieldPosition="0">
        <references count="1">
          <reference field="30" count="1">
            <x v="0"/>
          </reference>
        </references>
      </pivotArea>
    </format>
    <format dxfId="263">
      <pivotArea collapsedLevelsAreSubtotals="1" fieldPosition="0">
        <references count="2">
          <reference field="29" count="2">
            <x v="0"/>
            <x v="1"/>
          </reference>
          <reference field="30" count="1" selected="0">
            <x v="0"/>
          </reference>
        </references>
      </pivotArea>
    </format>
    <format dxfId="262">
      <pivotArea collapsedLevelsAreSubtotals="1" fieldPosition="0">
        <references count="1">
          <reference field="30" count="1">
            <x v="1"/>
          </reference>
        </references>
      </pivotArea>
    </format>
    <format dxfId="261">
      <pivotArea collapsedLevelsAreSubtotals="1" fieldPosition="0">
        <references count="2">
          <reference field="29" count="2">
            <x v="0"/>
            <x v="1"/>
          </reference>
          <reference field="30" count="1" selected="0">
            <x v="1"/>
          </reference>
        </references>
      </pivotArea>
    </format>
    <format dxfId="260">
      <pivotArea field="30" type="button" dataOnly="0" labelOnly="1" outline="0" axis="axisRow" fieldPosition="0"/>
    </format>
    <format dxfId="259">
      <pivotArea dataOnly="0" labelOnly="1" fieldPosition="0">
        <references count="1">
          <reference field="30" count="0"/>
        </references>
      </pivotArea>
    </format>
    <format dxfId="258">
      <pivotArea dataOnly="0" labelOnly="1" fieldPosition="0">
        <references count="2">
          <reference field="29" count="2">
            <x v="0"/>
            <x v="1"/>
          </reference>
          <reference field="30" count="1" selected="0">
            <x v="0"/>
          </reference>
        </references>
      </pivotArea>
    </format>
    <format dxfId="257">
      <pivotArea dataOnly="0" labelOnly="1" fieldPosition="0">
        <references count="2">
          <reference field="29" count="2">
            <x v="0"/>
            <x v="1"/>
          </reference>
          <reference field="30" count="1" selected="0">
            <x v="1"/>
          </reference>
        </references>
      </pivotArea>
    </format>
    <format dxfId="256">
      <pivotArea dataOnly="0" labelOnly="1" fieldPosition="0">
        <references count="1">
          <reference field="0" count="0"/>
        </references>
      </pivotArea>
    </format>
    <format dxfId="25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B321E2-AE28-4311-9632-6A0083864E6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isk Levels" colHeaderCaption="Gender">
  <location ref="G11:J15" firstHeaderRow="1" firstDataRow="2" firstDataCol="1"/>
  <pivotFields count="30">
    <pivotField axis="axisCol" showAll="0">
      <items count="4">
        <item x="0"/>
        <item x="1"/>
        <item h="1"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s>
  <rowFields count="1">
    <field x="29"/>
  </rowFields>
  <rowItems count="3">
    <i>
      <x/>
    </i>
    <i>
      <x v="1"/>
    </i>
    <i t="grand">
      <x/>
    </i>
  </rowItems>
  <colFields count="1">
    <field x="0"/>
  </colFields>
  <colItems count="3">
    <i>
      <x/>
    </i>
    <i>
      <x v="1"/>
    </i>
    <i t="grand">
      <x/>
    </i>
  </colItems>
  <dataFields count="1">
    <dataField name="Risk Segment" fld="1" subtotal="count" baseField="29" baseItem="0"/>
  </dataFields>
  <formats count="10">
    <format dxfId="282">
      <pivotArea type="origin" dataOnly="0" labelOnly="1" outline="0" fieldPosition="0"/>
    </format>
    <format dxfId="281">
      <pivotArea field="0" type="button" dataOnly="0" labelOnly="1" outline="0" axis="axisCol" fieldPosition="0"/>
    </format>
    <format dxfId="280">
      <pivotArea type="topRight" dataOnly="0" labelOnly="1" outline="0" fieldPosition="0"/>
    </format>
    <format dxfId="279">
      <pivotArea field="29" type="button" dataOnly="0" labelOnly="1" outline="0" axis="axisRow" fieldPosition="0"/>
    </format>
    <format dxfId="278">
      <pivotArea dataOnly="0" labelOnly="1" fieldPosition="0">
        <references count="1">
          <reference field="0" count="0"/>
        </references>
      </pivotArea>
    </format>
    <format dxfId="277">
      <pivotArea grandRow="1" outline="0" collapsedLevelsAreSubtotals="1" fieldPosition="0"/>
    </format>
    <format dxfId="276">
      <pivotArea dataOnly="0" labelOnly="1" grandRow="1" outline="0" fieldPosition="0"/>
    </format>
    <format dxfId="275">
      <pivotArea collapsedLevelsAreSubtotals="1" fieldPosition="0">
        <references count="1">
          <reference field="29" count="0"/>
        </references>
      </pivotArea>
    </format>
    <format dxfId="274">
      <pivotArea dataOnly="0" labelOnly="1" fieldPosition="0">
        <references count="1">
          <reference field="29" count="0"/>
        </references>
      </pivotArea>
    </format>
    <format dxfId="273">
      <pivotArea dataOnly="0" labelOnly="1" grandCol="1" outline="0" fieldPosition="0"/>
    </format>
  </formats>
  <chartFormats count="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D02A89-7610-433E-9930-C97DE4AC5C10}"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E9" firstHeaderRow="1" firstDataRow="2" firstDataCol="1"/>
  <pivotFields count="27">
    <pivotField axis="axisCol" showAll="0">
      <items count="4">
        <item x="0"/>
        <item x="1"/>
        <item x="2"/>
        <item t="default"/>
      </items>
    </pivotField>
    <pivotField dataField="1" showAll="0">
      <items count="16">
        <item x="6"/>
        <item x="3"/>
        <item x="1"/>
        <item x="4"/>
        <item x="11"/>
        <item x="12"/>
        <item x="5"/>
        <item x="10"/>
        <item x="9"/>
        <item x="2"/>
        <item x="8"/>
        <item x="13"/>
        <item x="0"/>
        <item x="7"/>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s>
  <rowFields count="1">
    <field x="18"/>
  </rowFields>
  <rowItems count="5">
    <i>
      <x/>
    </i>
    <i>
      <x v="1"/>
    </i>
    <i>
      <x v="2"/>
    </i>
    <i>
      <x v="3"/>
    </i>
    <i t="grand">
      <x/>
    </i>
  </rowItems>
  <colFields count="1">
    <field x="0"/>
  </colFields>
  <colItems count="4">
    <i>
      <x/>
    </i>
    <i>
      <x v="1"/>
    </i>
    <i>
      <x v="2"/>
    </i>
    <i t="grand">
      <x/>
    </i>
  </colItems>
  <dataFields count="1">
    <dataField name="AVG Age" fld="1" baseField="0" baseItem="0"/>
  </dataFields>
  <formats count="11">
    <format dxfId="242">
      <pivotArea type="origin" dataOnly="0" labelOnly="1" outline="0" fieldPosition="0"/>
    </format>
    <format dxfId="243">
      <pivotArea field="0" type="button" dataOnly="0" labelOnly="1" outline="0" axis="axisCol" fieldPosition="0"/>
    </format>
    <format dxfId="244">
      <pivotArea type="topRight" dataOnly="0" labelOnly="1" outline="0" offset="B1" fieldPosition="0"/>
    </format>
    <format dxfId="245">
      <pivotArea type="topRight" dataOnly="0" labelOnly="1" outline="0" offset="A1" fieldPosition="0"/>
    </format>
    <format dxfId="246">
      <pivotArea field="18" type="button" dataOnly="0" labelOnly="1" outline="0" axis="axisRow" fieldPosition="0"/>
    </format>
    <format dxfId="247">
      <pivotArea dataOnly="0" labelOnly="1" fieldPosition="0">
        <references count="1">
          <reference field="0" count="0"/>
        </references>
      </pivotArea>
    </format>
    <format dxfId="248">
      <pivotArea dataOnly="0" labelOnly="1" grandCol="1" outline="0" fieldPosition="0"/>
    </format>
    <format dxfId="249">
      <pivotArea grandRow="1" outline="0" collapsedLevelsAreSubtotals="1" fieldPosition="0"/>
    </format>
    <format dxfId="250">
      <pivotArea dataOnly="0" labelOnly="1" grandRow="1" outline="0" fieldPosition="0"/>
    </format>
    <format dxfId="251">
      <pivotArea collapsedLevelsAreSubtotals="1" fieldPosition="0">
        <references count="1">
          <reference field="18" count="3">
            <x v="0"/>
            <x v="1"/>
            <x v="2"/>
          </reference>
        </references>
      </pivotArea>
    </format>
    <format dxfId="252">
      <pivotArea dataOnly="0" labelOnly="1" fieldPosition="0">
        <references count="1">
          <reference field="18" count="3">
            <x v="0"/>
            <x v="1"/>
            <x v="2"/>
          </reference>
        </references>
      </pivotArea>
    </format>
  </formats>
  <chartFormats count="12">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9" format="3">
      <pivotArea type="data" outline="0" fieldPosition="0">
        <references count="3">
          <reference field="4294967294" count="1" selected="0">
            <x v="0"/>
          </reference>
          <reference field="0" count="1" selected="0">
            <x v="0"/>
          </reference>
          <reference field="18" count="1" selected="0">
            <x v="0"/>
          </reference>
        </references>
      </pivotArea>
    </chartFormat>
    <chartFormat chart="9" format="4">
      <pivotArea type="data" outline="0" fieldPosition="0">
        <references count="3">
          <reference field="4294967294" count="1" selected="0">
            <x v="0"/>
          </reference>
          <reference field="0" count="1" selected="0">
            <x v="0"/>
          </reference>
          <reference field="18" count="1" selected="0">
            <x v="1"/>
          </reference>
        </references>
      </pivotArea>
    </chartFormat>
    <chartFormat chart="9" format="5">
      <pivotArea type="data" outline="0" fieldPosition="0">
        <references count="3">
          <reference field="4294967294" count="1" selected="0">
            <x v="0"/>
          </reference>
          <reference field="0" count="1" selected="0">
            <x v="0"/>
          </reference>
          <reference field="18" count="1" selected="0">
            <x v="2"/>
          </reference>
        </references>
      </pivotArea>
    </chartFormat>
    <chartFormat chart="9" format="6">
      <pivotArea type="data" outline="0" fieldPosition="0">
        <references count="3">
          <reference field="4294967294" count="1" selected="0">
            <x v="0"/>
          </reference>
          <reference field="0" count="1" selected="0">
            <x v="1"/>
          </reference>
          <reference field="18" count="1" selected="0">
            <x v="0"/>
          </reference>
        </references>
      </pivotArea>
    </chartFormat>
    <chartFormat chart="9" format="7">
      <pivotArea type="data" outline="0" fieldPosition="0">
        <references count="3">
          <reference field="4294967294" count="1" selected="0">
            <x v="0"/>
          </reference>
          <reference field="0" count="1" selected="0">
            <x v="1"/>
          </reference>
          <reference field="18" count="1" selected="0">
            <x v="1"/>
          </reference>
        </references>
      </pivotArea>
    </chartFormat>
    <chartFormat chart="9" format="8">
      <pivotArea type="data" outline="0" fieldPosition="0">
        <references count="3">
          <reference field="4294967294" count="1" selected="0">
            <x v="0"/>
          </reference>
          <reference field="0" count="1" selected="0">
            <x v="1"/>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03D3EF-22FB-44F2-8825-39AE424CEDDF}"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vestment Options" colHeaderCaption="Risk Level">
  <location ref="L13:O17" firstHeaderRow="1" firstDataRow="2" firstDataCol="1"/>
  <pivotFields count="3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h="1" x="2"/>
        <item t="default"/>
      </items>
    </pivotField>
    <pivotField showAll="0"/>
    <pivotField axis="axisRow" showAll="0">
      <items count="4">
        <item x="1"/>
        <item x="0"/>
        <item h="1" x="2"/>
        <item t="default"/>
      </items>
    </pivotField>
  </pivotFields>
  <rowFields count="1">
    <field x="31"/>
  </rowFields>
  <rowItems count="3">
    <i>
      <x/>
    </i>
    <i>
      <x v="1"/>
    </i>
    <i t="grand">
      <x/>
    </i>
  </rowItems>
  <colFields count="1">
    <field x="29"/>
  </colFields>
  <colItems count="3">
    <i>
      <x/>
    </i>
    <i>
      <x v="1"/>
    </i>
    <i t="grand">
      <x/>
    </i>
  </colItems>
  <dataFields count="1">
    <dataField name="Risk Detection" fld="1" subtotal="count" baseField="0" baseItem="0"/>
  </dataFields>
  <formats count="12">
    <format dxfId="294">
      <pivotArea type="origin" dataOnly="0" labelOnly="1" outline="0" fieldPosition="0"/>
    </format>
    <format dxfId="293">
      <pivotArea field="29" type="button" dataOnly="0" labelOnly="1" outline="0" axis="axisCol" fieldPosition="0"/>
    </format>
    <format dxfId="292">
      <pivotArea type="topRight" dataOnly="0" labelOnly="1" outline="0" fieldPosition="0"/>
    </format>
    <format dxfId="291">
      <pivotArea field="31" type="button" dataOnly="0" labelOnly="1" outline="0" axis="axisRow" fieldPosition="0"/>
    </format>
    <format dxfId="290">
      <pivotArea dataOnly="0" labelOnly="1" fieldPosition="0">
        <references count="1">
          <reference field="29" count="0"/>
        </references>
      </pivotArea>
    </format>
    <format dxfId="289">
      <pivotArea dataOnly="0" labelOnly="1" grandCol="1" outline="0" fieldPosition="0"/>
    </format>
    <format dxfId="288">
      <pivotArea grandRow="1" outline="0" collapsedLevelsAreSubtotals="1" fieldPosition="0"/>
    </format>
    <format dxfId="287">
      <pivotArea dataOnly="0" labelOnly="1" grandRow="1" outline="0" fieldPosition="0"/>
    </format>
    <format dxfId="286">
      <pivotArea grandRow="1" outline="0" collapsedLevelsAreSubtotals="1" fieldPosition="0"/>
    </format>
    <format dxfId="285">
      <pivotArea dataOnly="0" labelOnly="1" grandRow="1" outline="0" fieldPosition="0"/>
    </format>
    <format dxfId="284">
      <pivotArea collapsedLevelsAreSubtotals="1" fieldPosition="0">
        <references count="1">
          <reference field="31" count="0"/>
        </references>
      </pivotArea>
    </format>
    <format dxfId="283">
      <pivotArea dataOnly="0" labelOnly="1" fieldPosition="0">
        <references count="1">
          <reference field="3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2F2BFA2-584C-49AA-AE2E-714D1A87FADF}" sourceName="Age">
  <pivotTables>
    <pivotTable tabId="4" name="PivotTable6"/>
  </pivotTables>
  <data>
    <tabular pivotCacheId="215786972">
      <items count="15">
        <i x="6" s="1"/>
        <i x="3" s="1"/>
        <i x="1" s="1"/>
        <i x="4" s="1"/>
        <i x="11" s="1"/>
        <i x="12" s="1"/>
        <i x="5" s="1"/>
        <i x="10" s="1"/>
        <i x="9" s="1"/>
        <i x="2" s="1"/>
        <i x="8" s="1"/>
        <i x="13" s="1"/>
        <i x="0" s="1"/>
        <i x="7" s="1"/>
        <i x="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F2073D-3BDE-4D1F-9345-EA6B4F2ACD28}" sourceName="Gender">
  <pivotTables>
    <pivotTable tabId="4" name="PivotTable6"/>
  </pivotTables>
  <data>
    <tabular pivotCacheId="215786972">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AF28284-6983-4F01-A008-93D4612A32D3}" sourceName="Gender">
  <pivotTables>
    <pivotTable tabId="5" name="PivotTable1"/>
    <pivotTable tabId="4" name="PivotTable4"/>
    <pivotTable tabId="4" name="PivotTable5"/>
  </pivotTables>
  <data>
    <tabular pivotCacheId="1050258416">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21EA68CD-6E17-4846-9268-BC6FEF75036C}" sourceName="Age">
  <pivotTables>
    <pivotTable tabId="5" name="PivotTable1"/>
    <pivotTable tabId="4" name="PivotTable4"/>
    <pivotTable tabId="4" name="PivotTable5"/>
  </pivotTables>
  <data>
    <tabular pivotCacheId="1050258416">
      <items count="15">
        <i x="6" s="1"/>
        <i x="3" s="1"/>
        <i x="1" s="1"/>
        <i x="4" s="1"/>
        <i x="11" s="1"/>
        <i x="12" s="1"/>
        <i x="5" s="1"/>
        <i x="10" s="1"/>
        <i x="9" s="1"/>
        <i x="2" s="1"/>
        <i x="8" s="1"/>
        <i x="13" s="1"/>
        <i x="0" s="1"/>
        <i x="7"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73A13385-6387-446F-866F-25349D32D17F}" cache="Slicer_Age" caption="Age" rowHeight="241300"/>
  <slicer name="Gender" xr10:uid="{AFFC98B8-4D43-47BC-884F-24FEEC3358D7}"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76EDDEF-1647-4AA3-AF42-54A3CFFC8BC1}" cache="Slicer_Gender1" caption="Gender" rowHeight="241300"/>
  <slicer name="Age 1" xr10:uid="{BBD7D8A8-792E-4CBB-A32E-23533CA0ADAB}" cache="Slicer_Age1" caption="Age"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474D28-A8C6-4551-8162-DAF15CD2A388}" name="Table2" displayName="Table2" ref="D3:E19" totalsRowShown="0" headerRowDxfId="312">
  <autoFilter ref="D3:E19" xr:uid="{F1474D28-A8C6-4551-8162-DAF15CD2A388}"/>
  <tableColumns count="2">
    <tableColumn id="1" xr3:uid="{483995F8-47C6-4C98-AA2F-996F25B4C8AF}" name="Metrics" dataDxfId="311"/>
    <tableColumn id="2" xr3:uid="{C6828BC6-101B-40A2-9CEA-6BBD74A98C0F}" name="Valu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418-7C6F-4E9D-BCF7-9E99B4F4CE95}">
  <dimension ref="A1:AF42"/>
  <sheetViews>
    <sheetView tabSelected="1" workbookViewId="0">
      <selection activeCell="Y2" sqref="Y2"/>
    </sheetView>
  </sheetViews>
  <sheetFormatPr defaultRowHeight="15" x14ac:dyDescent="0.25"/>
  <cols>
    <col min="1" max="1" width="10" bestFit="1" customWidth="1"/>
    <col min="2" max="2" width="6.7109375" bestFit="1" customWidth="1"/>
    <col min="3" max="3" width="22.42578125" bestFit="1" customWidth="1"/>
    <col min="4" max="4" width="16.140625" bestFit="1" customWidth="1"/>
    <col min="5" max="5" width="16.42578125" bestFit="1" customWidth="1"/>
    <col min="6" max="6" width="13.7109375" bestFit="1" customWidth="1"/>
    <col min="7" max="7" width="21.28515625" bestFit="1" customWidth="1"/>
    <col min="8" max="8" width="17" bestFit="1" customWidth="1"/>
    <col min="9" max="9" width="6.5703125" bestFit="1" customWidth="1"/>
    <col min="10" max="10" width="7.5703125" bestFit="1" customWidth="1"/>
    <col min="11" max="11" width="16.28515625" bestFit="1" customWidth="1"/>
    <col min="12" max="12" width="14" bestFit="1" customWidth="1"/>
    <col min="13" max="13" width="19.28515625" bestFit="1" customWidth="1"/>
    <col min="14" max="14" width="17" bestFit="1" customWidth="1"/>
    <col min="15" max="15" width="16.85546875" bestFit="1" customWidth="1"/>
    <col min="16" max="16" width="17.140625" bestFit="1" customWidth="1"/>
    <col min="17" max="17" width="9.140625" bestFit="1" customWidth="1"/>
    <col min="18" max="18" width="20.7109375" bestFit="1" customWidth="1"/>
    <col min="19" max="19" width="34" bestFit="1" customWidth="1"/>
    <col min="20" max="20" width="19.28515625" bestFit="1" customWidth="1"/>
    <col min="21" max="21" width="19" bestFit="1" customWidth="1"/>
    <col min="22" max="22" width="16.28515625" bestFit="1" customWidth="1"/>
    <col min="23" max="23" width="18" bestFit="1" customWidth="1"/>
    <col min="24" max="24" width="26" bestFit="1" customWidth="1"/>
    <col min="25" max="25" width="12.7109375" bestFit="1" customWidth="1"/>
    <col min="26" max="26" width="18.140625" bestFit="1" customWidth="1"/>
    <col min="27" max="27" width="19.5703125" bestFit="1" customWidth="1"/>
    <col min="28" max="28" width="11.5703125" bestFit="1" customWidth="1"/>
    <col min="29" max="29" width="10.85546875" bestFit="1" customWidth="1"/>
    <col min="30" max="30" width="12.28515625" bestFit="1" customWidth="1"/>
    <col min="31" max="31" width="16.5703125" bestFit="1" customWidth="1"/>
    <col min="32" max="32" width="13.85546875" bestFit="1" customWidth="1"/>
  </cols>
  <sheetData>
    <row r="1" spans="1:32" x14ac:dyDescent="0.25">
      <c r="A1" s="1" t="str">
        <f>PROPER("gender")</f>
        <v>Gender</v>
      </c>
      <c r="B1" s="1" t="s">
        <v>67</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88</v>
      </c>
      <c r="Z1" s="1" t="s">
        <v>95</v>
      </c>
      <c r="AA1" s="1" t="s">
        <v>99</v>
      </c>
      <c r="AB1" s="1" t="s">
        <v>106</v>
      </c>
      <c r="AC1" s="1" t="s">
        <v>107</v>
      </c>
      <c r="AD1" s="1" t="s">
        <v>108</v>
      </c>
      <c r="AE1" s="1" t="s">
        <v>114</v>
      </c>
      <c r="AF1" s="1" t="s">
        <v>119</v>
      </c>
    </row>
    <row r="2" spans="1:32" x14ac:dyDescent="0.25">
      <c r="A2" t="s">
        <v>22</v>
      </c>
      <c r="B2">
        <v>34</v>
      </c>
      <c r="C2" t="s">
        <v>23</v>
      </c>
      <c r="D2">
        <v>1</v>
      </c>
      <c r="E2">
        <v>2</v>
      </c>
      <c r="F2">
        <v>5</v>
      </c>
      <c r="G2">
        <v>3</v>
      </c>
      <c r="H2">
        <v>7</v>
      </c>
      <c r="I2">
        <v>6</v>
      </c>
      <c r="J2">
        <v>4</v>
      </c>
      <c r="K2" t="s">
        <v>23</v>
      </c>
      <c r="L2" t="s">
        <v>24</v>
      </c>
      <c r="M2" t="s">
        <v>25</v>
      </c>
      <c r="N2" t="s">
        <v>26</v>
      </c>
      <c r="O2" t="s">
        <v>27</v>
      </c>
      <c r="P2" t="s">
        <v>28</v>
      </c>
      <c r="Q2" t="s">
        <v>29</v>
      </c>
      <c r="R2" t="s">
        <v>30</v>
      </c>
      <c r="S2" t="s">
        <v>31</v>
      </c>
      <c r="T2" t="s">
        <v>25</v>
      </c>
      <c r="U2" t="s">
        <v>32</v>
      </c>
      <c r="V2" t="s">
        <v>33</v>
      </c>
      <c r="W2" t="s">
        <v>34</v>
      </c>
      <c r="X2" t="s">
        <v>35</v>
      </c>
      <c r="Y2" t="str" cm="1">
        <f t="array" ref="Y2">_xlfn.IFS(B2&lt;=30,"20-30",B2&lt;=40,"30-40")</f>
        <v>30-40</v>
      </c>
      <c r="Z2" t="str">
        <f t="shared" ref="Z2:Z41" si="0">IF(OR(G2&gt;5,H2&gt;5,I2&gt;5),"yes","no")</f>
        <v>yes</v>
      </c>
      <c r="AA2">
        <f>IF(Q2="10%-20%",15,IF(Q2="20%-30%",25,35))</f>
        <v>25</v>
      </c>
      <c r="AB2">
        <f>D2+E2+F2</f>
        <v>8</v>
      </c>
      <c r="AC2">
        <f t="shared" ref="AC2:AC41" si="1">G2+H2+J2</f>
        <v>14</v>
      </c>
      <c r="AD2" t="str">
        <f>IF(AB2&gt;AC2,"High risk","Low Risk")</f>
        <v>Low Risk</v>
      </c>
      <c r="AE2" t="str">
        <f>IF(OR(B2&lt;=25,AD2="High "),"Young Aggressive",IF(OR(B2&lt;=35,AD2="Low"),"Conservative"))</f>
        <v>Conservative</v>
      </c>
      <c r="AF2" t="str">
        <f>IF(AD2="High Risk","Equity/Mutual Funds", "FD/Bonds/PPF")</f>
        <v>FD/Bonds/PPF</v>
      </c>
    </row>
    <row r="3" spans="1:32" x14ac:dyDescent="0.25">
      <c r="A3" t="s">
        <v>22</v>
      </c>
      <c r="B3">
        <v>23</v>
      </c>
      <c r="C3" t="s">
        <v>23</v>
      </c>
      <c r="D3">
        <v>4</v>
      </c>
      <c r="E3">
        <v>3</v>
      </c>
      <c r="F3">
        <v>2</v>
      </c>
      <c r="G3">
        <v>1</v>
      </c>
      <c r="H3">
        <v>5</v>
      </c>
      <c r="I3">
        <v>6</v>
      </c>
      <c r="J3">
        <v>7</v>
      </c>
      <c r="K3" t="s">
        <v>36</v>
      </c>
      <c r="L3" t="s">
        <v>37</v>
      </c>
      <c r="M3" t="s">
        <v>25</v>
      </c>
      <c r="N3" t="s">
        <v>26</v>
      </c>
      <c r="O3" t="s">
        <v>38</v>
      </c>
      <c r="P3" t="s">
        <v>39</v>
      </c>
      <c r="Q3" t="s">
        <v>29</v>
      </c>
      <c r="R3" t="s">
        <v>30</v>
      </c>
      <c r="S3" t="s">
        <v>40</v>
      </c>
      <c r="T3" t="s">
        <v>41</v>
      </c>
      <c r="U3" t="s">
        <v>32</v>
      </c>
      <c r="V3" t="s">
        <v>33</v>
      </c>
      <c r="W3" t="s">
        <v>42</v>
      </c>
      <c r="X3" t="s">
        <v>43</v>
      </c>
      <c r="Y3" t="str" cm="1">
        <f t="array" ref="Y3">_xlfn.IFS(B3&lt;=30,"20-30",B3&lt;=40,"30-40")</f>
        <v>20-30</v>
      </c>
      <c r="Z3" t="str">
        <f t="shared" si="0"/>
        <v>yes</v>
      </c>
      <c r="AA3">
        <f t="shared" ref="AA3:AA41" si="2">IF(Q3="10%-20%",15,IF(Q3="20%-30%",25,35))</f>
        <v>25</v>
      </c>
      <c r="AB3">
        <f t="shared" ref="AB3:AB41" si="3">D3+E3+F3</f>
        <v>9</v>
      </c>
      <c r="AC3">
        <f t="shared" si="1"/>
        <v>13</v>
      </c>
      <c r="AD3" t="str">
        <f t="shared" ref="AD3:AD41" si="4">IF(AB3&gt;AC3,"High risk","Low Risk")</f>
        <v>Low Risk</v>
      </c>
      <c r="AE3" t="str">
        <f t="shared" ref="AE3:AE41" si="5">IF(OR(B3&lt;=25,AD3="High "),"Young Aggressive",IF(OR(B3&lt;=35,AD3="Low"),"Conservative"))</f>
        <v>Young Aggressive</v>
      </c>
      <c r="AF3" t="str">
        <f t="shared" ref="AF3:AF41" si="6">IF(AD3="High Risk","Equity/Mutual Funds", "FD/Bonds/PPF")</f>
        <v>FD/Bonds/PPF</v>
      </c>
    </row>
    <row r="4" spans="1:32" x14ac:dyDescent="0.25">
      <c r="A4" t="s">
        <v>44</v>
      </c>
      <c r="B4">
        <v>30</v>
      </c>
      <c r="C4" t="s">
        <v>23</v>
      </c>
      <c r="D4">
        <v>3</v>
      </c>
      <c r="E4">
        <v>6</v>
      </c>
      <c r="F4">
        <v>4</v>
      </c>
      <c r="G4">
        <v>2</v>
      </c>
      <c r="H4">
        <v>5</v>
      </c>
      <c r="I4">
        <v>1</v>
      </c>
      <c r="J4">
        <v>7</v>
      </c>
      <c r="K4" t="s">
        <v>23</v>
      </c>
      <c r="L4" t="s">
        <v>24</v>
      </c>
      <c r="M4" t="s">
        <v>25</v>
      </c>
      <c r="N4" t="s">
        <v>26</v>
      </c>
      <c r="O4" t="s">
        <v>45</v>
      </c>
      <c r="P4" t="s">
        <v>46</v>
      </c>
      <c r="Q4" t="s">
        <v>29</v>
      </c>
      <c r="R4" t="s">
        <v>47</v>
      </c>
      <c r="S4" t="s">
        <v>31</v>
      </c>
      <c r="T4" t="s">
        <v>25</v>
      </c>
      <c r="U4" t="s">
        <v>48</v>
      </c>
      <c r="V4" t="s">
        <v>49</v>
      </c>
      <c r="W4" t="s">
        <v>34</v>
      </c>
      <c r="X4" t="s">
        <v>50</v>
      </c>
      <c r="Y4" t="str" cm="1">
        <f t="array" ref="Y4">_xlfn.IFS(B4&lt;=30,"20-30",B4&lt;=40,"30-40")</f>
        <v>20-30</v>
      </c>
      <c r="Z4" t="str">
        <f t="shared" si="0"/>
        <v>no</v>
      </c>
      <c r="AA4">
        <f t="shared" si="2"/>
        <v>25</v>
      </c>
      <c r="AB4">
        <f t="shared" si="3"/>
        <v>13</v>
      </c>
      <c r="AC4">
        <f t="shared" si="1"/>
        <v>14</v>
      </c>
      <c r="AD4" t="str">
        <f t="shared" si="4"/>
        <v>Low Risk</v>
      </c>
      <c r="AE4" t="str">
        <f t="shared" si="5"/>
        <v>Conservative</v>
      </c>
      <c r="AF4" t="str">
        <f t="shared" si="6"/>
        <v>FD/Bonds/PPF</v>
      </c>
    </row>
    <row r="5" spans="1:32" x14ac:dyDescent="0.25">
      <c r="A5" t="s">
        <v>44</v>
      </c>
      <c r="B5">
        <v>22</v>
      </c>
      <c r="C5" t="s">
        <v>23</v>
      </c>
      <c r="D5">
        <v>2</v>
      </c>
      <c r="E5">
        <v>1</v>
      </c>
      <c r="F5">
        <v>3</v>
      </c>
      <c r="G5">
        <v>7</v>
      </c>
      <c r="H5">
        <v>6</v>
      </c>
      <c r="I5">
        <v>4</v>
      </c>
      <c r="J5">
        <v>5</v>
      </c>
      <c r="K5" t="s">
        <v>23</v>
      </c>
      <c r="L5" t="s">
        <v>24</v>
      </c>
      <c r="M5" t="s">
        <v>51</v>
      </c>
      <c r="N5" t="s">
        <v>26</v>
      </c>
      <c r="O5" t="s">
        <v>52</v>
      </c>
      <c r="P5" t="s">
        <v>46</v>
      </c>
      <c r="Q5" t="s">
        <v>53</v>
      </c>
      <c r="R5" t="s">
        <v>47</v>
      </c>
      <c r="S5" t="s">
        <v>31</v>
      </c>
      <c r="T5" t="s">
        <v>41</v>
      </c>
      <c r="U5" t="s">
        <v>54</v>
      </c>
      <c r="V5" t="s">
        <v>55</v>
      </c>
      <c r="W5" t="s">
        <v>42</v>
      </c>
      <c r="X5" t="s">
        <v>56</v>
      </c>
      <c r="Y5" t="str" cm="1">
        <f t="array" ref="Y5">_xlfn.IFS(B5&lt;=30,"20-30",B5&lt;=40,"30-40")</f>
        <v>20-30</v>
      </c>
      <c r="Z5" t="str">
        <f t="shared" si="0"/>
        <v>yes</v>
      </c>
      <c r="AA5">
        <f t="shared" si="2"/>
        <v>15</v>
      </c>
      <c r="AB5">
        <f t="shared" si="3"/>
        <v>6</v>
      </c>
      <c r="AC5">
        <f t="shared" si="1"/>
        <v>18</v>
      </c>
      <c r="AD5" t="str">
        <f t="shared" si="4"/>
        <v>Low Risk</v>
      </c>
      <c r="AE5" t="str">
        <f t="shared" si="5"/>
        <v>Young Aggressive</v>
      </c>
      <c r="AF5" t="str">
        <f t="shared" si="6"/>
        <v>FD/Bonds/PPF</v>
      </c>
    </row>
    <row r="6" spans="1:32" x14ac:dyDescent="0.25">
      <c r="A6" t="s">
        <v>22</v>
      </c>
      <c r="B6">
        <v>24</v>
      </c>
      <c r="C6" t="s">
        <v>36</v>
      </c>
      <c r="D6">
        <v>2</v>
      </c>
      <c r="E6">
        <v>1</v>
      </c>
      <c r="F6">
        <v>3</v>
      </c>
      <c r="G6">
        <v>6</v>
      </c>
      <c r="H6">
        <v>4</v>
      </c>
      <c r="I6">
        <v>5</v>
      </c>
      <c r="J6">
        <v>7</v>
      </c>
      <c r="K6" t="s">
        <v>36</v>
      </c>
      <c r="L6" t="s">
        <v>24</v>
      </c>
      <c r="M6" t="s">
        <v>51</v>
      </c>
      <c r="N6" t="s">
        <v>26</v>
      </c>
      <c r="O6" t="s">
        <v>52</v>
      </c>
      <c r="P6" t="s">
        <v>46</v>
      </c>
      <c r="Q6" t="s">
        <v>29</v>
      </c>
      <c r="R6" t="s">
        <v>47</v>
      </c>
      <c r="S6" t="s">
        <v>31</v>
      </c>
      <c r="T6" t="s">
        <v>25</v>
      </c>
      <c r="U6" t="s">
        <v>32</v>
      </c>
      <c r="V6" t="s">
        <v>33</v>
      </c>
      <c r="W6" t="s">
        <v>57</v>
      </c>
      <c r="X6" t="s">
        <v>56</v>
      </c>
      <c r="Y6" t="str" cm="1">
        <f t="array" ref="Y6">_xlfn.IFS(B6&lt;=30,"20-30",B6&lt;=40,"30-40")</f>
        <v>20-30</v>
      </c>
      <c r="Z6" t="str">
        <f t="shared" si="0"/>
        <v>yes</v>
      </c>
      <c r="AA6">
        <f t="shared" si="2"/>
        <v>25</v>
      </c>
      <c r="AB6">
        <f t="shared" si="3"/>
        <v>6</v>
      </c>
      <c r="AC6">
        <f t="shared" si="1"/>
        <v>17</v>
      </c>
      <c r="AD6" t="str">
        <f t="shared" si="4"/>
        <v>Low Risk</v>
      </c>
      <c r="AE6" t="str">
        <f t="shared" si="5"/>
        <v>Young Aggressive</v>
      </c>
      <c r="AF6" t="str">
        <f t="shared" si="6"/>
        <v>FD/Bonds/PPF</v>
      </c>
    </row>
    <row r="7" spans="1:32" x14ac:dyDescent="0.25">
      <c r="A7" t="s">
        <v>22</v>
      </c>
      <c r="B7">
        <v>24</v>
      </c>
      <c r="C7" t="s">
        <v>36</v>
      </c>
      <c r="D7">
        <v>7</v>
      </c>
      <c r="E7">
        <v>5</v>
      </c>
      <c r="F7">
        <v>4</v>
      </c>
      <c r="G7">
        <v>6</v>
      </c>
      <c r="H7">
        <v>3</v>
      </c>
      <c r="I7">
        <v>1</v>
      </c>
      <c r="J7">
        <v>2</v>
      </c>
      <c r="K7" t="s">
        <v>36</v>
      </c>
      <c r="L7" t="s">
        <v>58</v>
      </c>
      <c r="M7" t="s">
        <v>25</v>
      </c>
      <c r="N7" t="s">
        <v>26</v>
      </c>
      <c r="O7" t="s">
        <v>27</v>
      </c>
      <c r="P7" t="s">
        <v>46</v>
      </c>
      <c r="Q7" t="s">
        <v>59</v>
      </c>
      <c r="R7" t="s">
        <v>30</v>
      </c>
      <c r="S7" t="s">
        <v>31</v>
      </c>
      <c r="T7" t="s">
        <v>60</v>
      </c>
      <c r="U7" t="s">
        <v>54</v>
      </c>
      <c r="V7" t="s">
        <v>33</v>
      </c>
      <c r="W7" t="s">
        <v>57</v>
      </c>
      <c r="X7" t="s">
        <v>56</v>
      </c>
      <c r="Y7" t="str" cm="1">
        <f t="array" ref="Y7">_xlfn.IFS(B7&lt;=30,"20-30",B7&lt;=40,"30-40")</f>
        <v>20-30</v>
      </c>
      <c r="Z7" t="str">
        <f t="shared" si="0"/>
        <v>yes</v>
      </c>
      <c r="AA7">
        <f t="shared" si="2"/>
        <v>35</v>
      </c>
      <c r="AB7">
        <f t="shared" si="3"/>
        <v>16</v>
      </c>
      <c r="AC7">
        <f t="shared" si="1"/>
        <v>11</v>
      </c>
      <c r="AD7" t="str">
        <f t="shared" si="4"/>
        <v>High risk</v>
      </c>
      <c r="AE7" t="str">
        <f t="shared" si="5"/>
        <v>Young Aggressive</v>
      </c>
      <c r="AF7" t="str">
        <f t="shared" si="6"/>
        <v>Equity/Mutual Funds</v>
      </c>
    </row>
    <row r="8" spans="1:32" x14ac:dyDescent="0.25">
      <c r="A8" t="s">
        <v>22</v>
      </c>
      <c r="B8">
        <v>27</v>
      </c>
      <c r="C8" t="s">
        <v>23</v>
      </c>
      <c r="D8">
        <v>3</v>
      </c>
      <c r="E8">
        <v>6</v>
      </c>
      <c r="F8">
        <v>4</v>
      </c>
      <c r="G8">
        <v>2</v>
      </c>
      <c r="H8">
        <v>5</v>
      </c>
      <c r="I8">
        <v>1</v>
      </c>
      <c r="J8">
        <v>7</v>
      </c>
      <c r="K8" t="s">
        <v>23</v>
      </c>
      <c r="L8" t="s">
        <v>24</v>
      </c>
      <c r="M8" t="s">
        <v>25</v>
      </c>
      <c r="N8" t="s">
        <v>26</v>
      </c>
      <c r="O8" t="s">
        <v>45</v>
      </c>
      <c r="P8" t="s">
        <v>28</v>
      </c>
      <c r="Q8" t="s">
        <v>29</v>
      </c>
      <c r="R8" t="s">
        <v>47</v>
      </c>
      <c r="S8" t="s">
        <v>31</v>
      </c>
      <c r="T8" t="s">
        <v>25</v>
      </c>
      <c r="U8" t="s">
        <v>32</v>
      </c>
      <c r="V8" t="s">
        <v>49</v>
      </c>
      <c r="W8" t="s">
        <v>42</v>
      </c>
      <c r="X8" t="s">
        <v>43</v>
      </c>
      <c r="Y8" t="str" cm="1">
        <f t="array" ref="Y8">_xlfn.IFS(B8&lt;=30,"20-30",B8&lt;=40,"30-40")</f>
        <v>20-30</v>
      </c>
      <c r="Z8" t="str">
        <f t="shared" si="0"/>
        <v>no</v>
      </c>
      <c r="AA8">
        <f t="shared" si="2"/>
        <v>25</v>
      </c>
      <c r="AB8">
        <f t="shared" si="3"/>
        <v>13</v>
      </c>
      <c r="AC8">
        <f t="shared" si="1"/>
        <v>14</v>
      </c>
      <c r="AD8" t="str">
        <f t="shared" si="4"/>
        <v>Low Risk</v>
      </c>
      <c r="AE8" t="str">
        <f t="shared" si="5"/>
        <v>Conservative</v>
      </c>
      <c r="AF8" t="str">
        <f t="shared" si="6"/>
        <v>FD/Bonds/PPF</v>
      </c>
    </row>
    <row r="9" spans="1:32" x14ac:dyDescent="0.25">
      <c r="A9" t="s">
        <v>44</v>
      </c>
      <c r="B9">
        <v>21</v>
      </c>
      <c r="C9" t="s">
        <v>23</v>
      </c>
      <c r="D9">
        <v>2</v>
      </c>
      <c r="E9">
        <v>3</v>
      </c>
      <c r="F9">
        <v>7</v>
      </c>
      <c r="G9">
        <v>4</v>
      </c>
      <c r="H9">
        <v>6</v>
      </c>
      <c r="I9">
        <v>1</v>
      </c>
      <c r="J9">
        <v>5</v>
      </c>
      <c r="K9" t="s">
        <v>23</v>
      </c>
      <c r="L9" t="s">
        <v>58</v>
      </c>
      <c r="M9" t="s">
        <v>25</v>
      </c>
      <c r="N9" t="s">
        <v>26</v>
      </c>
      <c r="O9" t="s">
        <v>45</v>
      </c>
      <c r="P9" t="s">
        <v>28</v>
      </c>
      <c r="Q9" t="s">
        <v>29</v>
      </c>
      <c r="R9" t="s">
        <v>30</v>
      </c>
      <c r="S9" t="s">
        <v>31</v>
      </c>
      <c r="T9" t="s">
        <v>25</v>
      </c>
      <c r="U9" t="s">
        <v>32</v>
      </c>
      <c r="V9" t="s">
        <v>49</v>
      </c>
      <c r="W9" t="s">
        <v>57</v>
      </c>
      <c r="X9" t="s">
        <v>35</v>
      </c>
      <c r="Y9" t="str" cm="1">
        <f t="array" ref="Y9">_xlfn.IFS(B9&lt;=30,"20-30",B9&lt;=40,"30-40")</f>
        <v>20-30</v>
      </c>
      <c r="Z9" t="str">
        <f t="shared" si="0"/>
        <v>yes</v>
      </c>
      <c r="AA9">
        <f t="shared" si="2"/>
        <v>25</v>
      </c>
      <c r="AB9">
        <f t="shared" si="3"/>
        <v>12</v>
      </c>
      <c r="AC9">
        <f t="shared" si="1"/>
        <v>15</v>
      </c>
      <c r="AD9" t="str">
        <f t="shared" si="4"/>
        <v>Low Risk</v>
      </c>
      <c r="AE9" t="str">
        <f t="shared" si="5"/>
        <v>Young Aggressive</v>
      </c>
      <c r="AF9" t="str">
        <f t="shared" si="6"/>
        <v>FD/Bonds/PPF</v>
      </c>
    </row>
    <row r="10" spans="1:32" x14ac:dyDescent="0.25">
      <c r="A10" t="s">
        <v>44</v>
      </c>
      <c r="B10">
        <v>35</v>
      </c>
      <c r="C10" t="s">
        <v>23</v>
      </c>
      <c r="D10">
        <v>2</v>
      </c>
      <c r="E10">
        <v>4</v>
      </c>
      <c r="F10">
        <v>7</v>
      </c>
      <c r="G10">
        <v>5</v>
      </c>
      <c r="H10">
        <v>3</v>
      </c>
      <c r="I10">
        <v>1</v>
      </c>
      <c r="J10">
        <v>6</v>
      </c>
      <c r="K10" t="s">
        <v>23</v>
      </c>
      <c r="L10" t="s">
        <v>24</v>
      </c>
      <c r="M10" t="s">
        <v>61</v>
      </c>
      <c r="N10" t="s">
        <v>62</v>
      </c>
      <c r="O10" t="s">
        <v>27</v>
      </c>
      <c r="P10" t="s">
        <v>39</v>
      </c>
      <c r="Q10" t="s">
        <v>29</v>
      </c>
      <c r="R10" t="s">
        <v>47</v>
      </c>
      <c r="S10" t="s">
        <v>31</v>
      </c>
      <c r="T10" t="s">
        <v>25</v>
      </c>
      <c r="U10" t="s">
        <v>54</v>
      </c>
      <c r="V10" t="s">
        <v>33</v>
      </c>
      <c r="W10" t="s">
        <v>34</v>
      </c>
      <c r="X10" t="s">
        <v>50</v>
      </c>
      <c r="Y10" t="str" cm="1">
        <f t="array" ref="Y10">_xlfn.IFS(B10&lt;=30,"20-30",B10&lt;=40,"30-40")</f>
        <v>30-40</v>
      </c>
      <c r="Z10" t="str">
        <f t="shared" si="0"/>
        <v>no</v>
      </c>
      <c r="AA10">
        <f t="shared" si="2"/>
        <v>25</v>
      </c>
      <c r="AB10">
        <f t="shared" si="3"/>
        <v>13</v>
      </c>
      <c r="AC10">
        <f t="shared" si="1"/>
        <v>14</v>
      </c>
      <c r="AD10" t="str">
        <f t="shared" si="4"/>
        <v>Low Risk</v>
      </c>
      <c r="AE10" t="str">
        <f t="shared" si="5"/>
        <v>Conservative</v>
      </c>
      <c r="AF10" t="str">
        <f t="shared" si="6"/>
        <v>FD/Bonds/PPF</v>
      </c>
    </row>
    <row r="11" spans="1:32" x14ac:dyDescent="0.25">
      <c r="A11" t="s">
        <v>44</v>
      </c>
      <c r="B11">
        <v>31</v>
      </c>
      <c r="C11" t="s">
        <v>23</v>
      </c>
      <c r="D11">
        <v>1</v>
      </c>
      <c r="E11">
        <v>3</v>
      </c>
      <c r="F11">
        <v>7</v>
      </c>
      <c r="G11">
        <v>4</v>
      </c>
      <c r="H11">
        <v>5</v>
      </c>
      <c r="I11">
        <v>2</v>
      </c>
      <c r="J11">
        <v>6</v>
      </c>
      <c r="K11" t="s">
        <v>23</v>
      </c>
      <c r="L11" t="s">
        <v>24</v>
      </c>
      <c r="M11" t="s">
        <v>25</v>
      </c>
      <c r="N11" t="s">
        <v>26</v>
      </c>
      <c r="O11" t="s">
        <v>45</v>
      </c>
      <c r="P11" t="s">
        <v>28</v>
      </c>
      <c r="Q11" t="s">
        <v>59</v>
      </c>
      <c r="R11" t="s">
        <v>63</v>
      </c>
      <c r="S11" t="s">
        <v>31</v>
      </c>
      <c r="T11" t="s">
        <v>25</v>
      </c>
      <c r="U11" t="s">
        <v>54</v>
      </c>
      <c r="V11" t="s">
        <v>49</v>
      </c>
      <c r="W11" t="s">
        <v>34</v>
      </c>
      <c r="X11" t="s">
        <v>35</v>
      </c>
      <c r="Y11" t="str" cm="1">
        <f t="array" ref="Y11">_xlfn.IFS(B11&lt;=30,"20-30",B11&lt;=40,"30-40")</f>
        <v>30-40</v>
      </c>
      <c r="Z11" t="str">
        <f t="shared" si="0"/>
        <v>no</v>
      </c>
      <c r="AA11">
        <f t="shared" si="2"/>
        <v>35</v>
      </c>
      <c r="AB11">
        <f t="shared" si="3"/>
        <v>11</v>
      </c>
      <c r="AC11">
        <f t="shared" si="1"/>
        <v>15</v>
      </c>
      <c r="AD11" t="str">
        <f t="shared" si="4"/>
        <v>Low Risk</v>
      </c>
      <c r="AE11" t="str">
        <f t="shared" si="5"/>
        <v>Conservative</v>
      </c>
      <c r="AF11" t="str">
        <f t="shared" si="6"/>
        <v>FD/Bonds/PPF</v>
      </c>
    </row>
    <row r="12" spans="1:32" x14ac:dyDescent="0.25">
      <c r="A12" t="s">
        <v>22</v>
      </c>
      <c r="B12">
        <v>35</v>
      </c>
      <c r="C12" t="s">
        <v>23</v>
      </c>
      <c r="D12">
        <v>2</v>
      </c>
      <c r="E12">
        <v>4</v>
      </c>
      <c r="F12">
        <v>7</v>
      </c>
      <c r="G12">
        <v>5</v>
      </c>
      <c r="H12">
        <v>3</v>
      </c>
      <c r="I12">
        <v>1</v>
      </c>
      <c r="J12">
        <v>6</v>
      </c>
      <c r="K12" t="s">
        <v>23</v>
      </c>
      <c r="L12" t="s">
        <v>58</v>
      </c>
      <c r="M12" t="s">
        <v>61</v>
      </c>
      <c r="N12" t="s">
        <v>62</v>
      </c>
      <c r="O12" t="s">
        <v>45</v>
      </c>
      <c r="P12" t="s">
        <v>28</v>
      </c>
      <c r="Q12" t="s">
        <v>29</v>
      </c>
      <c r="R12" t="s">
        <v>30</v>
      </c>
      <c r="S12" t="s">
        <v>31</v>
      </c>
      <c r="T12" t="s">
        <v>25</v>
      </c>
      <c r="U12" t="s">
        <v>32</v>
      </c>
      <c r="V12" t="s">
        <v>49</v>
      </c>
      <c r="W12" t="s">
        <v>57</v>
      </c>
      <c r="X12" t="s">
        <v>43</v>
      </c>
      <c r="Y12" t="str" cm="1">
        <f t="array" ref="Y12">_xlfn.IFS(B12&lt;=30,"20-30",B12&lt;=40,"30-40")</f>
        <v>30-40</v>
      </c>
      <c r="Z12" t="str">
        <f t="shared" si="0"/>
        <v>no</v>
      </c>
      <c r="AA12">
        <f t="shared" si="2"/>
        <v>25</v>
      </c>
      <c r="AB12">
        <f t="shared" si="3"/>
        <v>13</v>
      </c>
      <c r="AC12">
        <f t="shared" si="1"/>
        <v>14</v>
      </c>
      <c r="AD12" t="str">
        <f t="shared" si="4"/>
        <v>Low Risk</v>
      </c>
      <c r="AE12" t="str">
        <f t="shared" si="5"/>
        <v>Conservative</v>
      </c>
      <c r="AF12" t="str">
        <f t="shared" si="6"/>
        <v>FD/Bonds/PPF</v>
      </c>
    </row>
    <row r="13" spans="1:32" x14ac:dyDescent="0.25">
      <c r="A13" t="s">
        <v>44</v>
      </c>
      <c r="B13">
        <v>29</v>
      </c>
      <c r="C13" t="s">
        <v>23</v>
      </c>
      <c r="D13">
        <v>2</v>
      </c>
      <c r="E13">
        <v>5</v>
      </c>
      <c r="F13">
        <v>7</v>
      </c>
      <c r="G13">
        <v>6</v>
      </c>
      <c r="H13">
        <v>3</v>
      </c>
      <c r="I13">
        <v>1</v>
      </c>
      <c r="J13">
        <v>4</v>
      </c>
      <c r="K13" t="s">
        <v>23</v>
      </c>
      <c r="L13" t="s">
        <v>58</v>
      </c>
      <c r="M13" t="s">
        <v>25</v>
      </c>
      <c r="N13" t="s">
        <v>26</v>
      </c>
      <c r="O13" t="s">
        <v>27</v>
      </c>
      <c r="P13" t="s">
        <v>28</v>
      </c>
      <c r="Q13" t="s">
        <v>29</v>
      </c>
      <c r="R13" t="s">
        <v>30</v>
      </c>
      <c r="S13" t="s">
        <v>31</v>
      </c>
      <c r="T13" t="s">
        <v>25</v>
      </c>
      <c r="U13" t="s">
        <v>54</v>
      </c>
      <c r="V13" t="s">
        <v>49</v>
      </c>
      <c r="W13" t="s">
        <v>34</v>
      </c>
      <c r="X13" t="s">
        <v>43</v>
      </c>
      <c r="Y13" t="str" cm="1">
        <f t="array" ref="Y13">_xlfn.IFS(B13&lt;=30,"20-30",B13&lt;=40,"30-40")</f>
        <v>20-30</v>
      </c>
      <c r="Z13" t="str">
        <f t="shared" si="0"/>
        <v>yes</v>
      </c>
      <c r="AA13">
        <f t="shared" si="2"/>
        <v>25</v>
      </c>
      <c r="AB13">
        <f t="shared" si="3"/>
        <v>14</v>
      </c>
      <c r="AC13">
        <f t="shared" si="1"/>
        <v>13</v>
      </c>
      <c r="AD13" t="str">
        <f t="shared" si="4"/>
        <v>High risk</v>
      </c>
      <c r="AE13" t="str">
        <f t="shared" si="5"/>
        <v>Conservative</v>
      </c>
      <c r="AF13" t="str">
        <f t="shared" si="6"/>
        <v>Equity/Mutual Funds</v>
      </c>
    </row>
    <row r="14" spans="1:32" x14ac:dyDescent="0.25">
      <c r="A14" t="s">
        <v>22</v>
      </c>
      <c r="B14">
        <v>21</v>
      </c>
      <c r="C14" t="s">
        <v>36</v>
      </c>
      <c r="D14">
        <v>1</v>
      </c>
      <c r="E14">
        <v>2</v>
      </c>
      <c r="F14">
        <v>3</v>
      </c>
      <c r="G14">
        <v>4</v>
      </c>
      <c r="H14">
        <v>5</v>
      </c>
      <c r="I14">
        <v>6</v>
      </c>
      <c r="J14">
        <v>7</v>
      </c>
      <c r="K14" t="s">
        <v>36</v>
      </c>
      <c r="L14" t="s">
        <v>24</v>
      </c>
      <c r="M14" t="s">
        <v>25</v>
      </c>
      <c r="N14" t="s">
        <v>62</v>
      </c>
      <c r="O14" t="s">
        <v>27</v>
      </c>
      <c r="P14" t="s">
        <v>39</v>
      </c>
      <c r="Q14" t="s">
        <v>29</v>
      </c>
      <c r="R14" t="s">
        <v>30</v>
      </c>
      <c r="S14" t="s">
        <v>64</v>
      </c>
      <c r="T14" t="s">
        <v>41</v>
      </c>
      <c r="U14" t="s">
        <v>32</v>
      </c>
      <c r="V14" t="s">
        <v>33</v>
      </c>
      <c r="W14" t="s">
        <v>57</v>
      </c>
      <c r="X14" t="s">
        <v>56</v>
      </c>
      <c r="Y14" t="str" cm="1">
        <f t="array" ref="Y14">_xlfn.IFS(B14&lt;=30,"20-30",B14&lt;=40,"30-40")</f>
        <v>20-30</v>
      </c>
      <c r="Z14" t="str">
        <f t="shared" si="0"/>
        <v>yes</v>
      </c>
      <c r="AA14">
        <f t="shared" si="2"/>
        <v>25</v>
      </c>
      <c r="AB14">
        <f t="shared" si="3"/>
        <v>6</v>
      </c>
      <c r="AC14">
        <f t="shared" si="1"/>
        <v>16</v>
      </c>
      <c r="AD14" t="str">
        <f t="shared" si="4"/>
        <v>Low Risk</v>
      </c>
      <c r="AE14" t="str">
        <f t="shared" si="5"/>
        <v>Young Aggressive</v>
      </c>
      <c r="AF14" t="str">
        <f t="shared" si="6"/>
        <v>FD/Bonds/PPF</v>
      </c>
    </row>
    <row r="15" spans="1:32" x14ac:dyDescent="0.25">
      <c r="A15" t="s">
        <v>22</v>
      </c>
      <c r="B15">
        <v>28</v>
      </c>
      <c r="C15" t="s">
        <v>23</v>
      </c>
      <c r="D15">
        <v>2</v>
      </c>
      <c r="E15">
        <v>3</v>
      </c>
      <c r="F15">
        <v>7</v>
      </c>
      <c r="G15">
        <v>4</v>
      </c>
      <c r="H15">
        <v>5</v>
      </c>
      <c r="I15">
        <v>1</v>
      </c>
      <c r="J15">
        <v>6</v>
      </c>
      <c r="K15" t="s">
        <v>23</v>
      </c>
      <c r="L15" t="s">
        <v>24</v>
      </c>
      <c r="M15" t="s">
        <v>25</v>
      </c>
      <c r="N15" t="s">
        <v>26</v>
      </c>
      <c r="O15" t="s">
        <v>27</v>
      </c>
      <c r="P15" t="s">
        <v>28</v>
      </c>
      <c r="Q15" t="s">
        <v>29</v>
      </c>
      <c r="R15" t="s">
        <v>30</v>
      </c>
      <c r="S15" t="s">
        <v>31</v>
      </c>
      <c r="T15" t="s">
        <v>25</v>
      </c>
      <c r="U15" t="s">
        <v>54</v>
      </c>
      <c r="V15" t="s">
        <v>49</v>
      </c>
      <c r="W15" t="s">
        <v>57</v>
      </c>
      <c r="X15" t="s">
        <v>35</v>
      </c>
      <c r="Y15" t="str" cm="1">
        <f t="array" ref="Y15">_xlfn.IFS(B15&lt;=30,"20-30",B15&lt;=40,"30-40")</f>
        <v>20-30</v>
      </c>
      <c r="Z15" t="str">
        <f t="shared" si="0"/>
        <v>no</v>
      </c>
      <c r="AA15">
        <f t="shared" si="2"/>
        <v>25</v>
      </c>
      <c r="AB15">
        <f t="shared" si="3"/>
        <v>12</v>
      </c>
      <c r="AC15">
        <f t="shared" si="1"/>
        <v>15</v>
      </c>
      <c r="AD15" t="str">
        <f t="shared" si="4"/>
        <v>Low Risk</v>
      </c>
      <c r="AE15" t="str">
        <f t="shared" si="5"/>
        <v>Conservative</v>
      </c>
      <c r="AF15" t="str">
        <f t="shared" si="6"/>
        <v>FD/Bonds/PPF</v>
      </c>
    </row>
    <row r="16" spans="1:32" x14ac:dyDescent="0.25">
      <c r="A16" t="s">
        <v>22</v>
      </c>
      <c r="B16">
        <v>25</v>
      </c>
      <c r="C16" t="s">
        <v>23</v>
      </c>
      <c r="D16">
        <v>2</v>
      </c>
      <c r="E16">
        <v>3</v>
      </c>
      <c r="F16">
        <v>7</v>
      </c>
      <c r="G16">
        <v>5</v>
      </c>
      <c r="H16">
        <v>4</v>
      </c>
      <c r="I16">
        <v>1</v>
      </c>
      <c r="J16">
        <v>6</v>
      </c>
      <c r="K16" t="s">
        <v>23</v>
      </c>
      <c r="L16" t="s">
        <v>24</v>
      </c>
      <c r="M16" t="s">
        <v>25</v>
      </c>
      <c r="N16" t="s">
        <v>26</v>
      </c>
      <c r="O16" t="s">
        <v>27</v>
      </c>
      <c r="P16" t="s">
        <v>28</v>
      </c>
      <c r="Q16" t="s">
        <v>29</v>
      </c>
      <c r="R16" t="s">
        <v>63</v>
      </c>
      <c r="S16" t="s">
        <v>40</v>
      </c>
      <c r="T16" t="s">
        <v>41</v>
      </c>
      <c r="U16" t="s">
        <v>32</v>
      </c>
      <c r="V16" t="s">
        <v>49</v>
      </c>
      <c r="W16" t="s">
        <v>57</v>
      </c>
      <c r="X16" t="s">
        <v>43</v>
      </c>
      <c r="Y16" t="str" cm="1">
        <f t="array" ref="Y16">_xlfn.IFS(B16&lt;=30,"20-30",B16&lt;=40,"30-40")</f>
        <v>20-30</v>
      </c>
      <c r="Z16" t="str">
        <f t="shared" si="0"/>
        <v>no</v>
      </c>
      <c r="AA16">
        <f t="shared" si="2"/>
        <v>25</v>
      </c>
      <c r="AB16">
        <f t="shared" si="3"/>
        <v>12</v>
      </c>
      <c r="AC16">
        <f t="shared" si="1"/>
        <v>15</v>
      </c>
      <c r="AD16" t="str">
        <f t="shared" si="4"/>
        <v>Low Risk</v>
      </c>
      <c r="AE16" t="str">
        <f t="shared" si="5"/>
        <v>Young Aggressive</v>
      </c>
      <c r="AF16" t="str">
        <f t="shared" si="6"/>
        <v>FD/Bonds/PPF</v>
      </c>
    </row>
    <row r="17" spans="1:32" x14ac:dyDescent="0.25">
      <c r="A17" t="s">
        <v>44</v>
      </c>
      <c r="B17">
        <v>27</v>
      </c>
      <c r="C17" t="s">
        <v>23</v>
      </c>
      <c r="D17">
        <v>2</v>
      </c>
      <c r="E17">
        <v>3</v>
      </c>
      <c r="F17">
        <v>7</v>
      </c>
      <c r="G17">
        <v>5</v>
      </c>
      <c r="H17">
        <v>4</v>
      </c>
      <c r="I17">
        <v>1</v>
      </c>
      <c r="J17">
        <v>6</v>
      </c>
      <c r="K17" t="s">
        <v>23</v>
      </c>
      <c r="L17" t="s">
        <v>24</v>
      </c>
      <c r="M17" t="s">
        <v>25</v>
      </c>
      <c r="N17" t="s">
        <v>26</v>
      </c>
      <c r="O17" t="s">
        <v>27</v>
      </c>
      <c r="P17" t="s">
        <v>28</v>
      </c>
      <c r="Q17" t="s">
        <v>29</v>
      </c>
      <c r="R17" t="s">
        <v>30</v>
      </c>
      <c r="S17" t="s">
        <v>40</v>
      </c>
      <c r="T17" t="s">
        <v>25</v>
      </c>
      <c r="U17" t="s">
        <v>54</v>
      </c>
      <c r="V17" t="s">
        <v>49</v>
      </c>
      <c r="W17" t="s">
        <v>57</v>
      </c>
      <c r="X17" t="s">
        <v>35</v>
      </c>
      <c r="Y17" t="str" cm="1">
        <f t="array" ref="Y17">_xlfn.IFS(B17&lt;=30,"20-30",B17&lt;=40,"30-40")</f>
        <v>20-30</v>
      </c>
      <c r="Z17" t="str">
        <f t="shared" si="0"/>
        <v>no</v>
      </c>
      <c r="AA17">
        <f t="shared" si="2"/>
        <v>25</v>
      </c>
      <c r="AB17">
        <f t="shared" si="3"/>
        <v>12</v>
      </c>
      <c r="AC17">
        <f t="shared" si="1"/>
        <v>15</v>
      </c>
      <c r="AD17" t="str">
        <f t="shared" si="4"/>
        <v>Low Risk</v>
      </c>
      <c r="AE17" t="str">
        <f t="shared" si="5"/>
        <v>Conservative</v>
      </c>
      <c r="AF17" t="str">
        <f t="shared" si="6"/>
        <v>FD/Bonds/PPF</v>
      </c>
    </row>
    <row r="18" spans="1:32" x14ac:dyDescent="0.25">
      <c r="A18" t="s">
        <v>22</v>
      </c>
      <c r="B18">
        <v>28</v>
      </c>
      <c r="C18" t="s">
        <v>23</v>
      </c>
      <c r="D18">
        <v>3</v>
      </c>
      <c r="E18">
        <v>2</v>
      </c>
      <c r="F18">
        <v>7</v>
      </c>
      <c r="G18">
        <v>5</v>
      </c>
      <c r="H18">
        <v>4</v>
      </c>
      <c r="I18">
        <v>1</v>
      </c>
      <c r="J18">
        <v>6</v>
      </c>
      <c r="K18" t="s">
        <v>23</v>
      </c>
      <c r="L18" t="s">
        <v>58</v>
      </c>
      <c r="M18" t="s">
        <v>61</v>
      </c>
      <c r="N18" t="s">
        <v>26</v>
      </c>
      <c r="O18" t="s">
        <v>27</v>
      </c>
      <c r="P18" t="s">
        <v>28</v>
      </c>
      <c r="Q18" t="s">
        <v>29</v>
      </c>
      <c r="R18" t="s">
        <v>63</v>
      </c>
      <c r="S18" t="s">
        <v>40</v>
      </c>
      <c r="T18" t="s">
        <v>25</v>
      </c>
      <c r="U18" t="s">
        <v>54</v>
      </c>
      <c r="V18" t="s">
        <v>49</v>
      </c>
      <c r="W18" t="s">
        <v>57</v>
      </c>
      <c r="X18" t="s">
        <v>50</v>
      </c>
      <c r="Y18" t="str" cm="1">
        <f t="array" ref="Y18">_xlfn.IFS(B18&lt;=30,"20-30",B18&lt;=40,"30-40")</f>
        <v>20-30</v>
      </c>
      <c r="Z18" t="str">
        <f t="shared" si="0"/>
        <v>no</v>
      </c>
      <c r="AA18">
        <f t="shared" si="2"/>
        <v>25</v>
      </c>
      <c r="AB18">
        <f t="shared" si="3"/>
        <v>12</v>
      </c>
      <c r="AC18">
        <f t="shared" si="1"/>
        <v>15</v>
      </c>
      <c r="AD18" t="str">
        <f t="shared" si="4"/>
        <v>Low Risk</v>
      </c>
      <c r="AE18" t="str">
        <f t="shared" si="5"/>
        <v>Conservative</v>
      </c>
      <c r="AF18" t="str">
        <f t="shared" si="6"/>
        <v>FD/Bonds/PPF</v>
      </c>
    </row>
    <row r="19" spans="1:32" x14ac:dyDescent="0.25">
      <c r="A19" t="s">
        <v>44</v>
      </c>
      <c r="B19">
        <v>27</v>
      </c>
      <c r="C19" t="s">
        <v>23</v>
      </c>
      <c r="D19">
        <v>3</v>
      </c>
      <c r="E19">
        <v>2</v>
      </c>
      <c r="F19">
        <v>7</v>
      </c>
      <c r="G19">
        <v>4</v>
      </c>
      <c r="H19">
        <v>5</v>
      </c>
      <c r="I19">
        <v>1</v>
      </c>
      <c r="J19">
        <v>6</v>
      </c>
      <c r="K19" t="s">
        <v>23</v>
      </c>
      <c r="L19" t="s">
        <v>24</v>
      </c>
      <c r="M19" t="s">
        <v>25</v>
      </c>
      <c r="N19" t="s">
        <v>26</v>
      </c>
      <c r="O19" t="s">
        <v>27</v>
      </c>
      <c r="P19" t="s">
        <v>28</v>
      </c>
      <c r="Q19" t="s">
        <v>29</v>
      </c>
      <c r="R19" t="s">
        <v>30</v>
      </c>
      <c r="S19" t="s">
        <v>31</v>
      </c>
      <c r="T19" t="s">
        <v>25</v>
      </c>
      <c r="U19" t="s">
        <v>32</v>
      </c>
      <c r="V19" t="s">
        <v>49</v>
      </c>
      <c r="W19" t="s">
        <v>57</v>
      </c>
      <c r="X19" t="s">
        <v>43</v>
      </c>
      <c r="Y19" t="str" cm="1">
        <f t="array" ref="Y19">_xlfn.IFS(B19&lt;=30,"20-30",B19&lt;=40,"30-40")</f>
        <v>20-30</v>
      </c>
      <c r="Z19" t="str">
        <f t="shared" si="0"/>
        <v>no</v>
      </c>
      <c r="AA19">
        <f t="shared" si="2"/>
        <v>25</v>
      </c>
      <c r="AB19">
        <f t="shared" si="3"/>
        <v>12</v>
      </c>
      <c r="AC19">
        <f t="shared" si="1"/>
        <v>15</v>
      </c>
      <c r="AD19" t="str">
        <f t="shared" si="4"/>
        <v>Low Risk</v>
      </c>
      <c r="AE19" t="str">
        <f t="shared" si="5"/>
        <v>Conservative</v>
      </c>
      <c r="AF19" t="str">
        <f t="shared" si="6"/>
        <v>FD/Bonds/PPF</v>
      </c>
    </row>
    <row r="20" spans="1:32" x14ac:dyDescent="0.25">
      <c r="A20" t="s">
        <v>44</v>
      </c>
      <c r="B20">
        <v>29</v>
      </c>
      <c r="C20" t="s">
        <v>23</v>
      </c>
      <c r="D20">
        <v>3</v>
      </c>
      <c r="E20">
        <v>2</v>
      </c>
      <c r="F20">
        <v>7</v>
      </c>
      <c r="G20">
        <v>4</v>
      </c>
      <c r="H20">
        <v>5</v>
      </c>
      <c r="I20">
        <v>1</v>
      </c>
      <c r="J20">
        <v>6</v>
      </c>
      <c r="K20" t="s">
        <v>23</v>
      </c>
      <c r="L20" t="s">
        <v>58</v>
      </c>
      <c r="M20" t="s">
        <v>25</v>
      </c>
      <c r="N20" t="s">
        <v>26</v>
      </c>
      <c r="O20" t="s">
        <v>27</v>
      </c>
      <c r="P20" t="s">
        <v>28</v>
      </c>
      <c r="Q20" t="s">
        <v>29</v>
      </c>
      <c r="R20" t="s">
        <v>30</v>
      </c>
      <c r="S20" t="s">
        <v>31</v>
      </c>
      <c r="T20" t="s">
        <v>25</v>
      </c>
      <c r="U20" t="s">
        <v>32</v>
      </c>
      <c r="V20" t="s">
        <v>49</v>
      </c>
      <c r="W20" t="s">
        <v>57</v>
      </c>
      <c r="X20" t="s">
        <v>35</v>
      </c>
      <c r="Y20" t="str" cm="1">
        <f t="array" ref="Y20">_xlfn.IFS(B20&lt;=30,"20-30",B20&lt;=40,"30-40")</f>
        <v>20-30</v>
      </c>
      <c r="Z20" t="str">
        <f t="shared" si="0"/>
        <v>no</v>
      </c>
      <c r="AA20">
        <f t="shared" si="2"/>
        <v>25</v>
      </c>
      <c r="AB20">
        <f t="shared" si="3"/>
        <v>12</v>
      </c>
      <c r="AC20">
        <f t="shared" si="1"/>
        <v>15</v>
      </c>
      <c r="AD20" t="str">
        <f t="shared" si="4"/>
        <v>Low Risk</v>
      </c>
      <c r="AE20" t="str">
        <f t="shared" si="5"/>
        <v>Conservative</v>
      </c>
      <c r="AF20" t="str">
        <f t="shared" si="6"/>
        <v>FD/Bonds/PPF</v>
      </c>
    </row>
    <row r="21" spans="1:32" x14ac:dyDescent="0.25">
      <c r="A21" t="s">
        <v>44</v>
      </c>
      <c r="B21">
        <v>26</v>
      </c>
      <c r="C21" t="s">
        <v>23</v>
      </c>
      <c r="D21">
        <v>3</v>
      </c>
      <c r="E21">
        <v>4</v>
      </c>
      <c r="F21">
        <v>6</v>
      </c>
      <c r="G21">
        <v>5</v>
      </c>
      <c r="H21">
        <v>1</v>
      </c>
      <c r="I21">
        <v>2</v>
      </c>
      <c r="J21">
        <v>7</v>
      </c>
      <c r="K21" t="s">
        <v>23</v>
      </c>
      <c r="L21" t="s">
        <v>58</v>
      </c>
      <c r="M21" t="s">
        <v>25</v>
      </c>
      <c r="N21" t="s">
        <v>26</v>
      </c>
      <c r="O21" t="s">
        <v>45</v>
      </c>
      <c r="P21" t="s">
        <v>28</v>
      </c>
      <c r="Q21" t="s">
        <v>29</v>
      </c>
      <c r="R21" t="s">
        <v>63</v>
      </c>
      <c r="S21" t="s">
        <v>40</v>
      </c>
      <c r="T21" t="s">
        <v>25</v>
      </c>
      <c r="U21" t="s">
        <v>54</v>
      </c>
      <c r="V21" t="s">
        <v>49</v>
      </c>
      <c r="W21" t="s">
        <v>57</v>
      </c>
      <c r="X21" t="s">
        <v>35</v>
      </c>
      <c r="Y21" t="str" cm="1">
        <f t="array" ref="Y21">_xlfn.IFS(B21&lt;=30,"20-30",B21&lt;=40,"30-40")</f>
        <v>20-30</v>
      </c>
      <c r="Z21" t="str">
        <f t="shared" si="0"/>
        <v>no</v>
      </c>
      <c r="AA21">
        <f t="shared" si="2"/>
        <v>25</v>
      </c>
      <c r="AB21">
        <f t="shared" si="3"/>
        <v>13</v>
      </c>
      <c r="AC21">
        <f t="shared" si="1"/>
        <v>13</v>
      </c>
      <c r="AD21" t="str">
        <f t="shared" si="4"/>
        <v>Low Risk</v>
      </c>
      <c r="AE21" t="str">
        <f t="shared" si="5"/>
        <v>Conservative</v>
      </c>
      <c r="AF21" t="str">
        <f t="shared" si="6"/>
        <v>FD/Bonds/PPF</v>
      </c>
    </row>
    <row r="22" spans="1:32" x14ac:dyDescent="0.25">
      <c r="A22" t="s">
        <v>44</v>
      </c>
      <c r="B22">
        <v>29</v>
      </c>
      <c r="C22" t="s">
        <v>23</v>
      </c>
      <c r="D22">
        <v>2</v>
      </c>
      <c r="E22">
        <v>4</v>
      </c>
      <c r="F22">
        <v>7</v>
      </c>
      <c r="G22">
        <v>5</v>
      </c>
      <c r="H22">
        <v>3</v>
      </c>
      <c r="I22">
        <v>1</v>
      </c>
      <c r="J22">
        <v>6</v>
      </c>
      <c r="K22" t="s">
        <v>23</v>
      </c>
      <c r="L22" t="s">
        <v>24</v>
      </c>
      <c r="M22" t="s">
        <v>61</v>
      </c>
      <c r="N22" t="s">
        <v>26</v>
      </c>
      <c r="O22" t="s">
        <v>45</v>
      </c>
      <c r="P22" t="s">
        <v>39</v>
      </c>
      <c r="Q22" t="s">
        <v>29</v>
      </c>
      <c r="R22" t="s">
        <v>30</v>
      </c>
      <c r="S22" t="s">
        <v>31</v>
      </c>
      <c r="T22" t="s">
        <v>25</v>
      </c>
      <c r="U22" t="s">
        <v>32</v>
      </c>
      <c r="V22" t="s">
        <v>49</v>
      </c>
      <c r="W22" t="s">
        <v>34</v>
      </c>
      <c r="X22" t="s">
        <v>43</v>
      </c>
      <c r="Y22" t="str" cm="1">
        <f t="array" ref="Y22">_xlfn.IFS(B22&lt;=30,"20-30",B22&lt;=40,"30-40")</f>
        <v>20-30</v>
      </c>
      <c r="Z22" t="str">
        <f t="shared" si="0"/>
        <v>no</v>
      </c>
      <c r="AA22">
        <f t="shared" si="2"/>
        <v>25</v>
      </c>
      <c r="AB22">
        <f t="shared" si="3"/>
        <v>13</v>
      </c>
      <c r="AC22">
        <f t="shared" si="1"/>
        <v>14</v>
      </c>
      <c r="AD22" t="str">
        <f t="shared" si="4"/>
        <v>Low Risk</v>
      </c>
      <c r="AE22" t="str">
        <f t="shared" si="5"/>
        <v>Conservative</v>
      </c>
      <c r="AF22" t="str">
        <f t="shared" si="6"/>
        <v>FD/Bonds/PPF</v>
      </c>
    </row>
    <row r="23" spans="1:32" x14ac:dyDescent="0.25">
      <c r="A23" t="s">
        <v>22</v>
      </c>
      <c r="B23">
        <v>24</v>
      </c>
      <c r="C23" t="s">
        <v>23</v>
      </c>
      <c r="D23">
        <v>2</v>
      </c>
      <c r="E23">
        <v>4</v>
      </c>
      <c r="F23">
        <v>5</v>
      </c>
      <c r="G23">
        <v>6</v>
      </c>
      <c r="H23">
        <v>3</v>
      </c>
      <c r="I23">
        <v>1</v>
      </c>
      <c r="J23">
        <v>7</v>
      </c>
      <c r="K23" t="s">
        <v>23</v>
      </c>
      <c r="L23" t="s">
        <v>58</v>
      </c>
      <c r="M23" t="s">
        <v>25</v>
      </c>
      <c r="N23" t="s">
        <v>26</v>
      </c>
      <c r="O23" t="s">
        <v>45</v>
      </c>
      <c r="P23" t="s">
        <v>28</v>
      </c>
      <c r="Q23" t="s">
        <v>29</v>
      </c>
      <c r="R23" t="s">
        <v>47</v>
      </c>
      <c r="S23" t="s">
        <v>40</v>
      </c>
      <c r="T23" t="s">
        <v>25</v>
      </c>
      <c r="U23" t="s">
        <v>32</v>
      </c>
      <c r="V23" t="s">
        <v>49</v>
      </c>
      <c r="W23" t="s">
        <v>57</v>
      </c>
      <c r="X23" t="s">
        <v>35</v>
      </c>
      <c r="Y23" t="str" cm="1">
        <f t="array" ref="Y23">_xlfn.IFS(B23&lt;=30,"20-30",B23&lt;=40,"30-40")</f>
        <v>20-30</v>
      </c>
      <c r="Z23" t="str">
        <f t="shared" si="0"/>
        <v>yes</v>
      </c>
      <c r="AA23">
        <f t="shared" si="2"/>
        <v>25</v>
      </c>
      <c r="AB23">
        <f t="shared" si="3"/>
        <v>11</v>
      </c>
      <c r="AC23">
        <f t="shared" si="1"/>
        <v>16</v>
      </c>
      <c r="AD23" t="str">
        <f t="shared" si="4"/>
        <v>Low Risk</v>
      </c>
      <c r="AE23" t="str">
        <f t="shared" si="5"/>
        <v>Young Aggressive</v>
      </c>
      <c r="AF23" t="str">
        <f t="shared" si="6"/>
        <v>FD/Bonds/PPF</v>
      </c>
    </row>
    <row r="24" spans="1:32" x14ac:dyDescent="0.25">
      <c r="A24" t="s">
        <v>44</v>
      </c>
      <c r="B24">
        <v>27</v>
      </c>
      <c r="C24" t="s">
        <v>23</v>
      </c>
      <c r="D24">
        <v>3</v>
      </c>
      <c r="E24">
        <v>4</v>
      </c>
      <c r="F24">
        <v>6</v>
      </c>
      <c r="G24">
        <v>5</v>
      </c>
      <c r="H24">
        <v>2</v>
      </c>
      <c r="I24">
        <v>1</v>
      </c>
      <c r="J24">
        <v>7</v>
      </c>
      <c r="K24" t="s">
        <v>23</v>
      </c>
      <c r="L24" t="s">
        <v>24</v>
      </c>
      <c r="M24" t="s">
        <v>25</v>
      </c>
      <c r="N24" t="s">
        <v>26</v>
      </c>
      <c r="O24" t="s">
        <v>45</v>
      </c>
      <c r="P24" t="s">
        <v>28</v>
      </c>
      <c r="Q24" t="s">
        <v>29</v>
      </c>
      <c r="R24" t="s">
        <v>30</v>
      </c>
      <c r="S24" t="s">
        <v>31</v>
      </c>
      <c r="T24" t="s">
        <v>25</v>
      </c>
      <c r="U24" t="s">
        <v>32</v>
      </c>
      <c r="V24" t="s">
        <v>49</v>
      </c>
      <c r="W24" t="s">
        <v>57</v>
      </c>
      <c r="X24" t="s">
        <v>43</v>
      </c>
      <c r="Y24" t="str" cm="1">
        <f t="array" ref="Y24">_xlfn.IFS(B24&lt;=30,"20-30",B24&lt;=40,"30-40")</f>
        <v>20-30</v>
      </c>
      <c r="Z24" t="str">
        <f t="shared" si="0"/>
        <v>no</v>
      </c>
      <c r="AA24">
        <f t="shared" si="2"/>
        <v>25</v>
      </c>
      <c r="AB24">
        <f t="shared" si="3"/>
        <v>13</v>
      </c>
      <c r="AC24">
        <f t="shared" si="1"/>
        <v>14</v>
      </c>
      <c r="AD24" t="str">
        <f t="shared" si="4"/>
        <v>Low Risk</v>
      </c>
      <c r="AE24" t="str">
        <f t="shared" si="5"/>
        <v>Conservative</v>
      </c>
      <c r="AF24" t="str">
        <f t="shared" si="6"/>
        <v>FD/Bonds/PPF</v>
      </c>
    </row>
    <row r="25" spans="1:32" x14ac:dyDescent="0.25">
      <c r="A25" t="s">
        <v>44</v>
      </c>
      <c r="B25">
        <v>25</v>
      </c>
      <c r="C25" t="s">
        <v>23</v>
      </c>
      <c r="D25">
        <v>2</v>
      </c>
      <c r="E25">
        <v>4</v>
      </c>
      <c r="F25">
        <v>6</v>
      </c>
      <c r="G25">
        <v>5</v>
      </c>
      <c r="H25">
        <v>3</v>
      </c>
      <c r="I25">
        <v>1</v>
      </c>
      <c r="J25">
        <v>7</v>
      </c>
      <c r="K25" t="s">
        <v>23</v>
      </c>
      <c r="L25" t="s">
        <v>58</v>
      </c>
      <c r="M25" t="s">
        <v>61</v>
      </c>
      <c r="N25" t="s">
        <v>62</v>
      </c>
      <c r="O25" t="s">
        <v>45</v>
      </c>
      <c r="P25" t="s">
        <v>39</v>
      </c>
      <c r="Q25" t="s">
        <v>29</v>
      </c>
      <c r="R25" t="s">
        <v>65</v>
      </c>
      <c r="S25" t="s">
        <v>40</v>
      </c>
      <c r="T25" t="s">
        <v>60</v>
      </c>
      <c r="U25" t="s">
        <v>32</v>
      </c>
      <c r="V25" t="s">
        <v>49</v>
      </c>
      <c r="W25" t="s">
        <v>57</v>
      </c>
      <c r="X25" t="s">
        <v>43</v>
      </c>
      <c r="Y25" t="str" cm="1">
        <f t="array" ref="Y25">_xlfn.IFS(B25&lt;=30,"20-30",B25&lt;=40,"30-40")</f>
        <v>20-30</v>
      </c>
      <c r="Z25" t="str">
        <f t="shared" si="0"/>
        <v>no</v>
      </c>
      <c r="AA25">
        <f t="shared" si="2"/>
        <v>25</v>
      </c>
      <c r="AB25">
        <f t="shared" si="3"/>
        <v>12</v>
      </c>
      <c r="AC25">
        <f t="shared" si="1"/>
        <v>15</v>
      </c>
      <c r="AD25" t="str">
        <f t="shared" si="4"/>
        <v>Low Risk</v>
      </c>
      <c r="AE25" t="str">
        <f t="shared" si="5"/>
        <v>Young Aggressive</v>
      </c>
      <c r="AF25" t="str">
        <f t="shared" si="6"/>
        <v>FD/Bonds/PPF</v>
      </c>
    </row>
    <row r="26" spans="1:32" x14ac:dyDescent="0.25">
      <c r="A26" t="s">
        <v>22</v>
      </c>
      <c r="B26">
        <v>26</v>
      </c>
      <c r="C26" t="s">
        <v>23</v>
      </c>
      <c r="D26">
        <v>2</v>
      </c>
      <c r="E26">
        <v>3</v>
      </c>
      <c r="F26">
        <v>7</v>
      </c>
      <c r="G26">
        <v>5</v>
      </c>
      <c r="H26">
        <v>4</v>
      </c>
      <c r="I26">
        <v>1</v>
      </c>
      <c r="J26">
        <v>6</v>
      </c>
      <c r="K26" t="s">
        <v>23</v>
      </c>
      <c r="L26" t="s">
        <v>24</v>
      </c>
      <c r="M26" t="s">
        <v>25</v>
      </c>
      <c r="N26" t="s">
        <v>26</v>
      </c>
      <c r="O26" t="s">
        <v>45</v>
      </c>
      <c r="P26" t="s">
        <v>28</v>
      </c>
      <c r="Q26" t="s">
        <v>59</v>
      </c>
      <c r="R26" t="s">
        <v>65</v>
      </c>
      <c r="S26" t="s">
        <v>31</v>
      </c>
      <c r="T26" t="s">
        <v>25</v>
      </c>
      <c r="U26" t="s">
        <v>32</v>
      </c>
      <c r="V26" t="s">
        <v>49</v>
      </c>
      <c r="W26" t="s">
        <v>57</v>
      </c>
      <c r="X26" t="s">
        <v>35</v>
      </c>
      <c r="Y26" t="str" cm="1">
        <f t="array" ref="Y26">_xlfn.IFS(B26&lt;=30,"20-30",B26&lt;=40,"30-40")</f>
        <v>20-30</v>
      </c>
      <c r="Z26" t="str">
        <f t="shared" si="0"/>
        <v>no</v>
      </c>
      <c r="AA26">
        <f t="shared" si="2"/>
        <v>35</v>
      </c>
      <c r="AB26">
        <f t="shared" si="3"/>
        <v>12</v>
      </c>
      <c r="AC26">
        <f t="shared" si="1"/>
        <v>15</v>
      </c>
      <c r="AD26" t="str">
        <f t="shared" si="4"/>
        <v>Low Risk</v>
      </c>
      <c r="AE26" t="str">
        <f t="shared" si="5"/>
        <v>Conservative</v>
      </c>
      <c r="AF26" t="str">
        <f t="shared" si="6"/>
        <v>FD/Bonds/PPF</v>
      </c>
    </row>
    <row r="27" spans="1:32" x14ac:dyDescent="0.25">
      <c r="A27" t="s">
        <v>22</v>
      </c>
      <c r="B27">
        <v>32</v>
      </c>
      <c r="C27" t="s">
        <v>23</v>
      </c>
      <c r="D27">
        <v>3</v>
      </c>
      <c r="E27">
        <v>4</v>
      </c>
      <c r="F27">
        <v>7</v>
      </c>
      <c r="G27">
        <v>5</v>
      </c>
      <c r="H27">
        <v>1</v>
      </c>
      <c r="I27">
        <v>2</v>
      </c>
      <c r="J27">
        <v>6</v>
      </c>
      <c r="K27" t="s">
        <v>23</v>
      </c>
      <c r="L27" t="s">
        <v>58</v>
      </c>
      <c r="M27" t="s">
        <v>61</v>
      </c>
      <c r="N27" t="s">
        <v>26</v>
      </c>
      <c r="O27" t="s">
        <v>45</v>
      </c>
      <c r="P27" t="s">
        <v>28</v>
      </c>
      <c r="Q27" t="s">
        <v>29</v>
      </c>
      <c r="R27" t="s">
        <v>30</v>
      </c>
      <c r="S27" t="s">
        <v>31</v>
      </c>
      <c r="T27" t="s">
        <v>25</v>
      </c>
      <c r="U27" t="s">
        <v>32</v>
      </c>
      <c r="V27" t="s">
        <v>49</v>
      </c>
      <c r="W27" t="s">
        <v>34</v>
      </c>
      <c r="X27" t="s">
        <v>43</v>
      </c>
      <c r="Y27" t="str" cm="1">
        <f t="array" ref="Y27">_xlfn.IFS(B27&lt;=30,"20-30",B27&lt;=40,"30-40")</f>
        <v>30-40</v>
      </c>
      <c r="Z27" t="str">
        <f t="shared" si="0"/>
        <v>no</v>
      </c>
      <c r="AA27">
        <f t="shared" si="2"/>
        <v>25</v>
      </c>
      <c r="AB27">
        <f t="shared" si="3"/>
        <v>14</v>
      </c>
      <c r="AC27">
        <f t="shared" si="1"/>
        <v>12</v>
      </c>
      <c r="AD27" t="str">
        <f t="shared" si="4"/>
        <v>High risk</v>
      </c>
      <c r="AE27" t="str">
        <f t="shared" si="5"/>
        <v>Conservative</v>
      </c>
      <c r="AF27" t="str">
        <f t="shared" si="6"/>
        <v>Equity/Mutual Funds</v>
      </c>
    </row>
    <row r="28" spans="1:32" x14ac:dyDescent="0.25">
      <c r="A28" t="s">
        <v>44</v>
      </c>
      <c r="B28">
        <v>26</v>
      </c>
      <c r="C28" t="s">
        <v>23</v>
      </c>
      <c r="D28">
        <v>3</v>
      </c>
      <c r="E28">
        <v>4</v>
      </c>
      <c r="F28">
        <v>6</v>
      </c>
      <c r="G28">
        <v>5</v>
      </c>
      <c r="H28">
        <v>1</v>
      </c>
      <c r="I28">
        <v>2</v>
      </c>
      <c r="J28">
        <v>7</v>
      </c>
      <c r="K28" t="s">
        <v>23</v>
      </c>
      <c r="L28" t="s">
        <v>24</v>
      </c>
      <c r="M28" t="s">
        <v>25</v>
      </c>
      <c r="N28" t="s">
        <v>26</v>
      </c>
      <c r="O28" t="s">
        <v>45</v>
      </c>
      <c r="P28" t="s">
        <v>28</v>
      </c>
      <c r="Q28" t="s">
        <v>29</v>
      </c>
      <c r="R28" t="s">
        <v>30</v>
      </c>
      <c r="S28" t="s">
        <v>31</v>
      </c>
      <c r="T28" t="s">
        <v>41</v>
      </c>
      <c r="U28" t="s">
        <v>54</v>
      </c>
      <c r="V28" t="s">
        <v>49</v>
      </c>
      <c r="W28" t="s">
        <v>34</v>
      </c>
      <c r="X28" t="s">
        <v>43</v>
      </c>
      <c r="Y28" t="str" cm="1">
        <f t="array" ref="Y28">_xlfn.IFS(B28&lt;=30,"20-30",B28&lt;=40,"30-40")</f>
        <v>20-30</v>
      </c>
      <c r="Z28" t="str">
        <f t="shared" si="0"/>
        <v>no</v>
      </c>
      <c r="AA28">
        <f t="shared" si="2"/>
        <v>25</v>
      </c>
      <c r="AB28">
        <f t="shared" si="3"/>
        <v>13</v>
      </c>
      <c r="AC28">
        <f t="shared" si="1"/>
        <v>13</v>
      </c>
      <c r="AD28" t="str">
        <f t="shared" si="4"/>
        <v>Low Risk</v>
      </c>
      <c r="AE28" t="str">
        <f t="shared" si="5"/>
        <v>Conservative</v>
      </c>
      <c r="AF28" t="str">
        <f t="shared" si="6"/>
        <v>FD/Bonds/PPF</v>
      </c>
    </row>
    <row r="29" spans="1:32" x14ac:dyDescent="0.25">
      <c r="A29" t="s">
        <v>44</v>
      </c>
      <c r="B29">
        <v>31</v>
      </c>
      <c r="C29" t="s">
        <v>23</v>
      </c>
      <c r="D29">
        <v>2</v>
      </c>
      <c r="E29">
        <v>3</v>
      </c>
      <c r="F29">
        <v>7</v>
      </c>
      <c r="G29">
        <v>6</v>
      </c>
      <c r="H29">
        <v>4</v>
      </c>
      <c r="I29">
        <v>1</v>
      </c>
      <c r="J29">
        <v>5</v>
      </c>
      <c r="K29" t="s">
        <v>23</v>
      </c>
      <c r="L29" t="s">
        <v>58</v>
      </c>
      <c r="M29" t="s">
        <v>61</v>
      </c>
      <c r="N29" t="s">
        <v>62</v>
      </c>
      <c r="O29" t="s">
        <v>27</v>
      </c>
      <c r="P29" t="s">
        <v>28</v>
      </c>
      <c r="Q29" t="s">
        <v>29</v>
      </c>
      <c r="R29" t="s">
        <v>63</v>
      </c>
      <c r="S29" t="s">
        <v>40</v>
      </c>
      <c r="T29" t="s">
        <v>25</v>
      </c>
      <c r="U29" t="s">
        <v>54</v>
      </c>
      <c r="V29" t="s">
        <v>33</v>
      </c>
      <c r="W29" t="s">
        <v>34</v>
      </c>
      <c r="X29" t="s">
        <v>50</v>
      </c>
      <c r="Y29" t="str" cm="1">
        <f t="array" ref="Y29">_xlfn.IFS(B29&lt;=30,"20-30",B29&lt;=40,"30-40")</f>
        <v>30-40</v>
      </c>
      <c r="Z29" t="str">
        <f t="shared" si="0"/>
        <v>yes</v>
      </c>
      <c r="AA29">
        <f t="shared" si="2"/>
        <v>25</v>
      </c>
      <c r="AB29">
        <f t="shared" si="3"/>
        <v>12</v>
      </c>
      <c r="AC29">
        <f t="shared" si="1"/>
        <v>15</v>
      </c>
      <c r="AD29" t="str">
        <f t="shared" si="4"/>
        <v>Low Risk</v>
      </c>
      <c r="AE29" t="str">
        <f t="shared" si="5"/>
        <v>Conservative</v>
      </c>
      <c r="AF29" t="str">
        <f t="shared" si="6"/>
        <v>FD/Bonds/PPF</v>
      </c>
    </row>
    <row r="30" spans="1:32" x14ac:dyDescent="0.25">
      <c r="A30" t="s">
        <v>44</v>
      </c>
      <c r="B30">
        <v>29</v>
      </c>
      <c r="C30" t="s">
        <v>23</v>
      </c>
      <c r="D30">
        <v>2</v>
      </c>
      <c r="E30">
        <v>3</v>
      </c>
      <c r="F30">
        <v>6</v>
      </c>
      <c r="G30">
        <v>5</v>
      </c>
      <c r="H30">
        <v>1</v>
      </c>
      <c r="I30">
        <v>4</v>
      </c>
      <c r="J30">
        <v>7</v>
      </c>
      <c r="K30" t="s">
        <v>23</v>
      </c>
      <c r="L30" t="s">
        <v>24</v>
      </c>
      <c r="M30" t="s">
        <v>25</v>
      </c>
      <c r="N30" t="s">
        <v>26</v>
      </c>
      <c r="O30" t="s">
        <v>27</v>
      </c>
      <c r="P30" t="s">
        <v>28</v>
      </c>
      <c r="Q30" t="s">
        <v>29</v>
      </c>
      <c r="R30" t="s">
        <v>47</v>
      </c>
      <c r="S30" t="s">
        <v>31</v>
      </c>
      <c r="T30" t="s">
        <v>25</v>
      </c>
      <c r="U30" t="s">
        <v>32</v>
      </c>
      <c r="V30" t="s">
        <v>49</v>
      </c>
      <c r="W30" t="s">
        <v>57</v>
      </c>
      <c r="X30" t="s">
        <v>50</v>
      </c>
      <c r="Y30" t="str" cm="1">
        <f t="array" ref="Y30">_xlfn.IFS(B30&lt;=30,"20-30",B30&lt;=40,"30-40")</f>
        <v>20-30</v>
      </c>
      <c r="Z30" t="str">
        <f t="shared" si="0"/>
        <v>no</v>
      </c>
      <c r="AA30">
        <f t="shared" si="2"/>
        <v>25</v>
      </c>
      <c r="AB30">
        <f t="shared" si="3"/>
        <v>11</v>
      </c>
      <c r="AC30">
        <f t="shared" si="1"/>
        <v>13</v>
      </c>
      <c r="AD30" t="str">
        <f t="shared" si="4"/>
        <v>Low Risk</v>
      </c>
      <c r="AE30" t="str">
        <f t="shared" si="5"/>
        <v>Conservative</v>
      </c>
      <c r="AF30" t="str">
        <f t="shared" si="6"/>
        <v>FD/Bonds/PPF</v>
      </c>
    </row>
    <row r="31" spans="1:32" x14ac:dyDescent="0.25">
      <c r="A31" t="s">
        <v>22</v>
      </c>
      <c r="B31">
        <v>34</v>
      </c>
      <c r="C31" t="s">
        <v>23</v>
      </c>
      <c r="D31">
        <v>5</v>
      </c>
      <c r="E31">
        <v>4</v>
      </c>
      <c r="F31">
        <v>3</v>
      </c>
      <c r="G31">
        <v>2</v>
      </c>
      <c r="H31">
        <v>7</v>
      </c>
      <c r="I31">
        <v>1</v>
      </c>
      <c r="J31">
        <v>6</v>
      </c>
      <c r="K31" t="s">
        <v>23</v>
      </c>
      <c r="L31" t="s">
        <v>24</v>
      </c>
      <c r="M31" t="s">
        <v>51</v>
      </c>
      <c r="N31" t="s">
        <v>24</v>
      </c>
      <c r="O31" t="s">
        <v>45</v>
      </c>
      <c r="P31" t="s">
        <v>28</v>
      </c>
      <c r="Q31" t="s">
        <v>53</v>
      </c>
      <c r="R31" t="s">
        <v>30</v>
      </c>
      <c r="S31" t="s">
        <v>31</v>
      </c>
      <c r="T31" t="s">
        <v>25</v>
      </c>
      <c r="U31" t="s">
        <v>48</v>
      </c>
      <c r="V31" t="s">
        <v>33</v>
      </c>
      <c r="W31" t="s">
        <v>34</v>
      </c>
      <c r="X31" t="s">
        <v>35</v>
      </c>
      <c r="Y31" t="str" cm="1">
        <f t="array" ref="Y31">_xlfn.IFS(B31&lt;=30,"20-30",B31&lt;=40,"30-40")</f>
        <v>30-40</v>
      </c>
      <c r="Z31" t="str">
        <f t="shared" si="0"/>
        <v>yes</v>
      </c>
      <c r="AA31">
        <f t="shared" si="2"/>
        <v>15</v>
      </c>
      <c r="AB31">
        <f t="shared" si="3"/>
        <v>12</v>
      </c>
      <c r="AC31">
        <f t="shared" si="1"/>
        <v>15</v>
      </c>
      <c r="AD31" t="str">
        <f t="shared" si="4"/>
        <v>Low Risk</v>
      </c>
      <c r="AE31" t="str">
        <f t="shared" si="5"/>
        <v>Conservative</v>
      </c>
      <c r="AF31" t="str">
        <f t="shared" si="6"/>
        <v>FD/Bonds/PPF</v>
      </c>
    </row>
    <row r="32" spans="1:32" x14ac:dyDescent="0.25">
      <c r="A32" t="s">
        <v>44</v>
      </c>
      <c r="B32">
        <v>27</v>
      </c>
      <c r="C32" t="s">
        <v>23</v>
      </c>
      <c r="D32">
        <v>4</v>
      </c>
      <c r="E32">
        <v>5</v>
      </c>
      <c r="F32">
        <v>1</v>
      </c>
      <c r="G32">
        <v>2</v>
      </c>
      <c r="H32">
        <v>7</v>
      </c>
      <c r="I32">
        <v>3</v>
      </c>
      <c r="J32">
        <v>6</v>
      </c>
      <c r="K32" t="s">
        <v>36</v>
      </c>
      <c r="L32" t="s">
        <v>24</v>
      </c>
      <c r="M32" t="s">
        <v>61</v>
      </c>
      <c r="N32" t="s">
        <v>26</v>
      </c>
      <c r="O32" t="s">
        <v>27</v>
      </c>
      <c r="P32" t="s">
        <v>28</v>
      </c>
      <c r="Q32" t="s">
        <v>53</v>
      </c>
      <c r="R32" t="s">
        <v>30</v>
      </c>
      <c r="S32" t="s">
        <v>64</v>
      </c>
      <c r="T32" t="s">
        <v>25</v>
      </c>
      <c r="U32" t="s">
        <v>48</v>
      </c>
      <c r="V32" t="s">
        <v>33</v>
      </c>
      <c r="W32" t="s">
        <v>34</v>
      </c>
      <c r="X32" t="s">
        <v>50</v>
      </c>
      <c r="Y32" t="str" cm="1">
        <f t="array" ref="Y32">_xlfn.IFS(B32&lt;=30,"20-30",B32&lt;=40,"30-40")</f>
        <v>20-30</v>
      </c>
      <c r="Z32" t="str">
        <f t="shared" si="0"/>
        <v>yes</v>
      </c>
      <c r="AA32">
        <f t="shared" si="2"/>
        <v>15</v>
      </c>
      <c r="AB32">
        <f t="shared" si="3"/>
        <v>10</v>
      </c>
      <c r="AC32">
        <f t="shared" si="1"/>
        <v>15</v>
      </c>
      <c r="AD32" t="str">
        <f t="shared" si="4"/>
        <v>Low Risk</v>
      </c>
      <c r="AE32" t="str">
        <f t="shared" si="5"/>
        <v>Conservative</v>
      </c>
      <c r="AF32" t="str">
        <f t="shared" si="6"/>
        <v>FD/Bonds/PPF</v>
      </c>
    </row>
    <row r="33" spans="1:32" x14ac:dyDescent="0.25">
      <c r="A33" t="s">
        <v>22</v>
      </c>
      <c r="B33">
        <v>31</v>
      </c>
      <c r="C33" t="s">
        <v>23</v>
      </c>
      <c r="D33">
        <v>2</v>
      </c>
      <c r="E33">
        <v>4</v>
      </c>
      <c r="F33">
        <v>7</v>
      </c>
      <c r="G33">
        <v>6</v>
      </c>
      <c r="H33">
        <v>3</v>
      </c>
      <c r="I33">
        <v>1</v>
      </c>
      <c r="J33">
        <v>5</v>
      </c>
      <c r="K33" t="s">
        <v>23</v>
      </c>
      <c r="L33" t="s">
        <v>24</v>
      </c>
      <c r="M33" t="s">
        <v>25</v>
      </c>
      <c r="N33" t="s">
        <v>26</v>
      </c>
      <c r="O33" t="s">
        <v>45</v>
      </c>
      <c r="P33" t="s">
        <v>28</v>
      </c>
      <c r="Q33" t="s">
        <v>29</v>
      </c>
      <c r="R33" t="s">
        <v>63</v>
      </c>
      <c r="S33" t="s">
        <v>31</v>
      </c>
      <c r="T33" t="s">
        <v>25</v>
      </c>
      <c r="U33" t="s">
        <v>32</v>
      </c>
      <c r="V33" t="s">
        <v>49</v>
      </c>
      <c r="W33" t="s">
        <v>34</v>
      </c>
      <c r="X33" t="s">
        <v>43</v>
      </c>
      <c r="Y33" t="str" cm="1">
        <f t="array" ref="Y33">_xlfn.IFS(B33&lt;=30,"20-30",B33&lt;=40,"30-40")</f>
        <v>30-40</v>
      </c>
      <c r="Z33" t="str">
        <f t="shared" si="0"/>
        <v>yes</v>
      </c>
      <c r="AA33">
        <f t="shared" si="2"/>
        <v>25</v>
      </c>
      <c r="AB33">
        <f t="shared" si="3"/>
        <v>13</v>
      </c>
      <c r="AC33">
        <f t="shared" si="1"/>
        <v>14</v>
      </c>
      <c r="AD33" t="str">
        <f t="shared" si="4"/>
        <v>Low Risk</v>
      </c>
      <c r="AE33" t="str">
        <f t="shared" si="5"/>
        <v>Conservative</v>
      </c>
      <c r="AF33" t="str">
        <f t="shared" si="6"/>
        <v>FD/Bonds/PPF</v>
      </c>
    </row>
    <row r="34" spans="1:32" x14ac:dyDescent="0.25">
      <c r="A34" t="s">
        <v>44</v>
      </c>
      <c r="B34">
        <v>27</v>
      </c>
      <c r="C34" t="s">
        <v>23</v>
      </c>
      <c r="D34">
        <v>2</v>
      </c>
      <c r="E34">
        <v>4</v>
      </c>
      <c r="F34">
        <v>7</v>
      </c>
      <c r="G34">
        <v>5</v>
      </c>
      <c r="H34">
        <v>1</v>
      </c>
      <c r="I34">
        <v>3</v>
      </c>
      <c r="J34">
        <v>6</v>
      </c>
      <c r="K34" t="s">
        <v>23</v>
      </c>
      <c r="L34" t="s">
        <v>24</v>
      </c>
      <c r="M34" t="s">
        <v>25</v>
      </c>
      <c r="N34" t="s">
        <v>26</v>
      </c>
      <c r="O34" t="s">
        <v>45</v>
      </c>
      <c r="P34" t="s">
        <v>28</v>
      </c>
      <c r="Q34" t="s">
        <v>59</v>
      </c>
      <c r="R34" t="s">
        <v>47</v>
      </c>
      <c r="S34" t="s">
        <v>40</v>
      </c>
      <c r="T34" t="s">
        <v>25</v>
      </c>
      <c r="U34" t="s">
        <v>54</v>
      </c>
      <c r="V34" t="s">
        <v>49</v>
      </c>
      <c r="W34" t="s">
        <v>34</v>
      </c>
      <c r="X34" t="s">
        <v>35</v>
      </c>
      <c r="Y34" t="str" cm="1">
        <f t="array" ref="Y34">_xlfn.IFS(B34&lt;=30,"20-30",B34&lt;=40,"30-40")</f>
        <v>20-30</v>
      </c>
      <c r="Z34" t="str">
        <f t="shared" si="0"/>
        <v>no</v>
      </c>
      <c r="AA34">
        <f t="shared" si="2"/>
        <v>35</v>
      </c>
      <c r="AB34">
        <f t="shared" si="3"/>
        <v>13</v>
      </c>
      <c r="AC34">
        <f t="shared" si="1"/>
        <v>12</v>
      </c>
      <c r="AD34" t="str">
        <f t="shared" si="4"/>
        <v>High risk</v>
      </c>
      <c r="AE34" t="str">
        <f t="shared" si="5"/>
        <v>Conservative</v>
      </c>
      <c r="AF34" t="str">
        <f t="shared" si="6"/>
        <v>Equity/Mutual Funds</v>
      </c>
    </row>
    <row r="35" spans="1:32" x14ac:dyDescent="0.25">
      <c r="A35" t="s">
        <v>44</v>
      </c>
      <c r="B35">
        <v>26</v>
      </c>
      <c r="C35" t="s">
        <v>23</v>
      </c>
      <c r="D35">
        <v>2</v>
      </c>
      <c r="E35">
        <v>3</v>
      </c>
      <c r="F35">
        <v>6</v>
      </c>
      <c r="G35">
        <v>4</v>
      </c>
      <c r="H35">
        <v>1</v>
      </c>
      <c r="I35">
        <v>5</v>
      </c>
      <c r="J35">
        <v>7</v>
      </c>
      <c r="K35" t="s">
        <v>23</v>
      </c>
      <c r="L35" t="s">
        <v>24</v>
      </c>
      <c r="M35" t="s">
        <v>25</v>
      </c>
      <c r="N35" t="s">
        <v>24</v>
      </c>
      <c r="O35" t="s">
        <v>27</v>
      </c>
      <c r="P35" t="s">
        <v>28</v>
      </c>
      <c r="Q35" t="s">
        <v>29</v>
      </c>
      <c r="R35" t="s">
        <v>63</v>
      </c>
      <c r="S35" t="s">
        <v>64</v>
      </c>
      <c r="T35" t="s">
        <v>41</v>
      </c>
      <c r="U35" t="s">
        <v>32</v>
      </c>
      <c r="V35" t="s">
        <v>33</v>
      </c>
      <c r="W35" t="s">
        <v>57</v>
      </c>
      <c r="X35" t="s">
        <v>35</v>
      </c>
      <c r="Y35" t="str" cm="1">
        <f t="array" ref="Y35">_xlfn.IFS(B35&lt;=30,"20-30",B35&lt;=40,"30-40")</f>
        <v>20-30</v>
      </c>
      <c r="Z35" t="str">
        <f t="shared" si="0"/>
        <v>no</v>
      </c>
      <c r="AA35">
        <f t="shared" si="2"/>
        <v>25</v>
      </c>
      <c r="AB35">
        <f t="shared" si="3"/>
        <v>11</v>
      </c>
      <c r="AC35">
        <f t="shared" si="1"/>
        <v>12</v>
      </c>
      <c r="AD35" t="str">
        <f t="shared" si="4"/>
        <v>Low Risk</v>
      </c>
      <c r="AE35" t="str">
        <f t="shared" si="5"/>
        <v>Conservative</v>
      </c>
      <c r="AF35" t="str">
        <f t="shared" si="6"/>
        <v>FD/Bonds/PPF</v>
      </c>
    </row>
    <row r="36" spans="1:32" x14ac:dyDescent="0.25">
      <c r="A36" t="s">
        <v>44</v>
      </c>
      <c r="B36">
        <v>27</v>
      </c>
      <c r="C36" t="s">
        <v>23</v>
      </c>
      <c r="D36">
        <v>2</v>
      </c>
      <c r="E36">
        <v>3</v>
      </c>
      <c r="F36">
        <v>6</v>
      </c>
      <c r="G36">
        <v>5</v>
      </c>
      <c r="H36">
        <v>4</v>
      </c>
      <c r="I36">
        <v>1</v>
      </c>
      <c r="J36">
        <v>7</v>
      </c>
      <c r="K36" t="s">
        <v>23</v>
      </c>
      <c r="L36" t="s">
        <v>24</v>
      </c>
      <c r="M36" t="s">
        <v>25</v>
      </c>
      <c r="N36" t="s">
        <v>26</v>
      </c>
      <c r="O36" t="s">
        <v>27</v>
      </c>
      <c r="P36" t="s">
        <v>39</v>
      </c>
      <c r="Q36" t="s">
        <v>29</v>
      </c>
      <c r="R36" t="s">
        <v>30</v>
      </c>
      <c r="S36" t="s">
        <v>40</v>
      </c>
      <c r="T36" t="s">
        <v>25</v>
      </c>
      <c r="U36" t="s">
        <v>32</v>
      </c>
      <c r="V36" t="s">
        <v>33</v>
      </c>
      <c r="W36" t="s">
        <v>34</v>
      </c>
      <c r="X36" t="s">
        <v>43</v>
      </c>
      <c r="Y36" t="str" cm="1">
        <f t="array" ref="Y36">_xlfn.IFS(B36&lt;=30,"20-30",B36&lt;=40,"30-40")</f>
        <v>20-30</v>
      </c>
      <c r="Z36" t="str">
        <f t="shared" si="0"/>
        <v>no</v>
      </c>
      <c r="AA36">
        <f t="shared" si="2"/>
        <v>25</v>
      </c>
      <c r="AB36">
        <f t="shared" si="3"/>
        <v>11</v>
      </c>
      <c r="AC36">
        <f t="shared" si="1"/>
        <v>16</v>
      </c>
      <c r="AD36" t="str">
        <f t="shared" si="4"/>
        <v>Low Risk</v>
      </c>
      <c r="AE36" t="str">
        <f t="shared" si="5"/>
        <v>Conservative</v>
      </c>
      <c r="AF36" t="str">
        <f t="shared" si="6"/>
        <v>FD/Bonds/PPF</v>
      </c>
    </row>
    <row r="37" spans="1:32" x14ac:dyDescent="0.25">
      <c r="A37" t="s">
        <v>44</v>
      </c>
      <c r="B37">
        <v>30</v>
      </c>
      <c r="C37" t="s">
        <v>23</v>
      </c>
      <c r="D37">
        <v>1</v>
      </c>
      <c r="E37">
        <v>4</v>
      </c>
      <c r="F37">
        <v>6</v>
      </c>
      <c r="G37">
        <v>5</v>
      </c>
      <c r="H37">
        <v>3</v>
      </c>
      <c r="I37">
        <v>2</v>
      </c>
      <c r="J37">
        <v>7</v>
      </c>
      <c r="K37" t="s">
        <v>23</v>
      </c>
      <c r="L37" t="s">
        <v>58</v>
      </c>
      <c r="M37" t="s">
        <v>61</v>
      </c>
      <c r="N37" t="s">
        <v>26</v>
      </c>
      <c r="O37" t="s">
        <v>45</v>
      </c>
      <c r="P37" t="s">
        <v>28</v>
      </c>
      <c r="Q37" t="s">
        <v>29</v>
      </c>
      <c r="R37" t="s">
        <v>63</v>
      </c>
      <c r="S37" t="s">
        <v>40</v>
      </c>
      <c r="T37" t="s">
        <v>25</v>
      </c>
      <c r="U37" t="s">
        <v>32</v>
      </c>
      <c r="V37" t="s">
        <v>49</v>
      </c>
      <c r="W37" t="s">
        <v>34</v>
      </c>
      <c r="X37" t="s">
        <v>43</v>
      </c>
      <c r="Y37" t="str" cm="1">
        <f t="array" ref="Y37">_xlfn.IFS(B37&lt;=30,"20-30",B37&lt;=40,"30-40")</f>
        <v>20-30</v>
      </c>
      <c r="Z37" t="str">
        <f t="shared" si="0"/>
        <v>no</v>
      </c>
      <c r="AA37">
        <f t="shared" si="2"/>
        <v>25</v>
      </c>
      <c r="AB37">
        <f t="shared" si="3"/>
        <v>11</v>
      </c>
      <c r="AC37">
        <f t="shared" si="1"/>
        <v>15</v>
      </c>
      <c r="AD37" t="str">
        <f t="shared" si="4"/>
        <v>Low Risk</v>
      </c>
      <c r="AE37" t="str">
        <f t="shared" si="5"/>
        <v>Conservative</v>
      </c>
      <c r="AF37" t="str">
        <f t="shared" si="6"/>
        <v>FD/Bonds/PPF</v>
      </c>
    </row>
    <row r="38" spans="1:32" x14ac:dyDescent="0.25">
      <c r="A38" t="s">
        <v>44</v>
      </c>
      <c r="B38">
        <v>30</v>
      </c>
      <c r="C38" t="s">
        <v>23</v>
      </c>
      <c r="D38">
        <v>2</v>
      </c>
      <c r="E38">
        <v>4</v>
      </c>
      <c r="F38">
        <v>7</v>
      </c>
      <c r="G38">
        <v>5</v>
      </c>
      <c r="H38">
        <v>1</v>
      </c>
      <c r="I38">
        <v>3</v>
      </c>
      <c r="J38">
        <v>6</v>
      </c>
      <c r="K38" t="s">
        <v>23</v>
      </c>
      <c r="L38" t="s">
        <v>24</v>
      </c>
      <c r="M38" t="s">
        <v>25</v>
      </c>
      <c r="N38" t="s">
        <v>26</v>
      </c>
      <c r="O38" t="s">
        <v>27</v>
      </c>
      <c r="P38" t="s">
        <v>28</v>
      </c>
      <c r="Q38" t="s">
        <v>29</v>
      </c>
      <c r="R38" t="s">
        <v>47</v>
      </c>
      <c r="S38" t="s">
        <v>31</v>
      </c>
      <c r="T38" t="s">
        <v>25</v>
      </c>
      <c r="U38" t="s">
        <v>32</v>
      </c>
      <c r="V38" t="s">
        <v>49</v>
      </c>
      <c r="W38" t="s">
        <v>57</v>
      </c>
      <c r="X38" t="s">
        <v>35</v>
      </c>
      <c r="Y38" t="str" cm="1">
        <f t="array" ref="Y38">_xlfn.IFS(B38&lt;=30,"20-30",B38&lt;=40,"30-40")</f>
        <v>20-30</v>
      </c>
      <c r="Z38" t="str">
        <f t="shared" si="0"/>
        <v>no</v>
      </c>
      <c r="AA38">
        <f t="shared" si="2"/>
        <v>25</v>
      </c>
      <c r="AB38">
        <f t="shared" si="3"/>
        <v>13</v>
      </c>
      <c r="AC38">
        <f t="shared" si="1"/>
        <v>12</v>
      </c>
      <c r="AD38" t="str">
        <f t="shared" si="4"/>
        <v>High risk</v>
      </c>
      <c r="AE38" t="str">
        <f t="shared" si="5"/>
        <v>Conservative</v>
      </c>
      <c r="AF38" t="str">
        <f t="shared" si="6"/>
        <v>Equity/Mutual Funds</v>
      </c>
    </row>
    <row r="39" spans="1:32" x14ac:dyDescent="0.25">
      <c r="A39" t="s">
        <v>44</v>
      </c>
      <c r="B39">
        <v>25</v>
      </c>
      <c r="C39" t="s">
        <v>23</v>
      </c>
      <c r="D39">
        <v>5</v>
      </c>
      <c r="E39">
        <v>4</v>
      </c>
      <c r="F39">
        <v>7</v>
      </c>
      <c r="G39">
        <v>6</v>
      </c>
      <c r="H39">
        <v>1</v>
      </c>
      <c r="I39">
        <v>2</v>
      </c>
      <c r="J39">
        <v>3</v>
      </c>
      <c r="K39" t="s">
        <v>23</v>
      </c>
      <c r="L39" t="s">
        <v>58</v>
      </c>
      <c r="M39" t="s">
        <v>61</v>
      </c>
      <c r="N39" t="s">
        <v>62</v>
      </c>
      <c r="O39" t="s">
        <v>45</v>
      </c>
      <c r="P39" t="s">
        <v>28</v>
      </c>
      <c r="Q39" t="s">
        <v>59</v>
      </c>
      <c r="R39" t="s">
        <v>65</v>
      </c>
      <c r="S39" t="s">
        <v>40</v>
      </c>
      <c r="T39" t="s">
        <v>25</v>
      </c>
      <c r="U39" t="s">
        <v>32</v>
      </c>
      <c r="V39" t="s">
        <v>33</v>
      </c>
      <c r="W39" t="s">
        <v>34</v>
      </c>
      <c r="X39" t="s">
        <v>43</v>
      </c>
      <c r="Y39" t="str" cm="1">
        <f t="array" ref="Y39">_xlfn.IFS(B39&lt;=30,"20-30",B39&lt;=40,"30-40")</f>
        <v>20-30</v>
      </c>
      <c r="Z39" t="str">
        <f t="shared" si="0"/>
        <v>yes</v>
      </c>
      <c r="AA39">
        <f t="shared" si="2"/>
        <v>35</v>
      </c>
      <c r="AB39">
        <f t="shared" si="3"/>
        <v>16</v>
      </c>
      <c r="AC39">
        <f t="shared" si="1"/>
        <v>10</v>
      </c>
      <c r="AD39" t="str">
        <f t="shared" si="4"/>
        <v>High risk</v>
      </c>
      <c r="AE39" t="str">
        <f t="shared" si="5"/>
        <v>Young Aggressive</v>
      </c>
      <c r="AF39" t="str">
        <f t="shared" si="6"/>
        <v>Equity/Mutual Funds</v>
      </c>
    </row>
    <row r="40" spans="1:32" x14ac:dyDescent="0.25">
      <c r="A40" t="s">
        <v>44</v>
      </c>
      <c r="B40">
        <v>31</v>
      </c>
      <c r="C40" t="s">
        <v>23</v>
      </c>
      <c r="D40">
        <v>2</v>
      </c>
      <c r="E40">
        <v>4</v>
      </c>
      <c r="F40">
        <v>7</v>
      </c>
      <c r="G40">
        <v>5</v>
      </c>
      <c r="H40">
        <v>3</v>
      </c>
      <c r="I40">
        <v>1</v>
      </c>
      <c r="J40">
        <v>6</v>
      </c>
      <c r="K40" t="s">
        <v>23</v>
      </c>
      <c r="L40" t="s">
        <v>58</v>
      </c>
      <c r="M40" t="s">
        <v>61</v>
      </c>
      <c r="N40" t="s">
        <v>26</v>
      </c>
      <c r="O40" t="s">
        <v>27</v>
      </c>
      <c r="P40" t="s">
        <v>39</v>
      </c>
      <c r="Q40" t="s">
        <v>29</v>
      </c>
      <c r="R40" t="s">
        <v>47</v>
      </c>
      <c r="S40" t="s">
        <v>40</v>
      </c>
      <c r="T40" t="s">
        <v>41</v>
      </c>
      <c r="U40" t="s">
        <v>54</v>
      </c>
      <c r="V40" t="s">
        <v>49</v>
      </c>
      <c r="W40" t="s">
        <v>34</v>
      </c>
      <c r="X40" t="s">
        <v>35</v>
      </c>
      <c r="Y40" t="str" cm="1">
        <f t="array" ref="Y40">_xlfn.IFS(B40&lt;=30,"20-30",B40&lt;=40,"30-40")</f>
        <v>30-40</v>
      </c>
      <c r="Z40" t="str">
        <f t="shared" si="0"/>
        <v>no</v>
      </c>
      <c r="AA40">
        <f t="shared" si="2"/>
        <v>25</v>
      </c>
      <c r="AB40">
        <f t="shared" si="3"/>
        <v>13</v>
      </c>
      <c r="AC40">
        <f t="shared" si="1"/>
        <v>14</v>
      </c>
      <c r="AD40" t="str">
        <f t="shared" si="4"/>
        <v>Low Risk</v>
      </c>
      <c r="AE40" t="str">
        <f t="shared" si="5"/>
        <v>Conservative</v>
      </c>
      <c r="AF40" t="str">
        <f t="shared" si="6"/>
        <v>FD/Bonds/PPF</v>
      </c>
    </row>
    <row r="41" spans="1:32" x14ac:dyDescent="0.25">
      <c r="A41" t="s">
        <v>44</v>
      </c>
      <c r="B41">
        <v>29</v>
      </c>
      <c r="C41" t="s">
        <v>23</v>
      </c>
      <c r="D41">
        <v>4</v>
      </c>
      <c r="E41">
        <v>3</v>
      </c>
      <c r="F41">
        <v>5</v>
      </c>
      <c r="G41">
        <v>7</v>
      </c>
      <c r="H41">
        <v>2</v>
      </c>
      <c r="I41">
        <v>1</v>
      </c>
      <c r="J41">
        <v>6</v>
      </c>
      <c r="K41" t="s">
        <v>23</v>
      </c>
      <c r="L41" t="s">
        <v>24</v>
      </c>
      <c r="M41" t="s">
        <v>25</v>
      </c>
      <c r="N41" t="s">
        <v>26</v>
      </c>
      <c r="O41" t="s">
        <v>45</v>
      </c>
      <c r="P41" t="s">
        <v>28</v>
      </c>
      <c r="Q41" t="s">
        <v>29</v>
      </c>
      <c r="R41" t="s">
        <v>63</v>
      </c>
      <c r="S41" t="s">
        <v>31</v>
      </c>
      <c r="T41" t="s">
        <v>41</v>
      </c>
      <c r="U41" t="s">
        <v>32</v>
      </c>
      <c r="V41" t="s">
        <v>33</v>
      </c>
      <c r="W41" t="s">
        <v>34</v>
      </c>
      <c r="X41" t="s">
        <v>43</v>
      </c>
      <c r="Y41" t="str" cm="1">
        <f t="array" ref="Y41">_xlfn.IFS(B41&lt;=30,"20-30",B41&lt;=40,"30-40")</f>
        <v>20-30</v>
      </c>
      <c r="Z41" t="str">
        <f t="shared" si="0"/>
        <v>yes</v>
      </c>
      <c r="AA41">
        <f t="shared" si="2"/>
        <v>25</v>
      </c>
      <c r="AB41">
        <f t="shared" si="3"/>
        <v>12</v>
      </c>
      <c r="AC41">
        <f t="shared" si="1"/>
        <v>15</v>
      </c>
      <c r="AD41" t="str">
        <f t="shared" si="4"/>
        <v>Low Risk</v>
      </c>
      <c r="AE41" t="str">
        <f t="shared" si="5"/>
        <v>Conservative</v>
      </c>
      <c r="AF41" t="str">
        <f t="shared" si="6"/>
        <v>FD/Bonds/PPF</v>
      </c>
    </row>
    <row r="42" spans="1:32" x14ac:dyDescent="0.25">
      <c r="D42">
        <f>SUM(D2:D41)</f>
        <v>102</v>
      </c>
      <c r="E42">
        <f t="shared" ref="E42:J42" si="7">SUM(E2:E41)</f>
        <v>139</v>
      </c>
      <c r="F42">
        <f t="shared" si="7"/>
        <v>230</v>
      </c>
      <c r="G42">
        <f t="shared" si="7"/>
        <v>186</v>
      </c>
      <c r="H42">
        <f t="shared" si="7"/>
        <v>143</v>
      </c>
      <c r="I42">
        <f t="shared" si="7"/>
        <v>81</v>
      </c>
      <c r="J42">
        <f t="shared" si="7"/>
        <v>239</v>
      </c>
    </row>
  </sheetData>
  <autoFilter ref="A1:AD1" xr:uid="{CF8FF418-7C6F-4E9D-BCF7-9E99B4F4CE95}"/>
  <conditionalFormatting sqref="B2:B41">
    <cfRule type="cellIs" dxfId="254" priority="2" operator="greaterThan">
      <formula>30</formula>
    </cfRule>
    <cfRule type="cellIs" dxfId="253" priority="3" operator="greaterThan">
      <formula>50</formula>
    </cfRule>
  </conditionalFormatting>
  <conditionalFormatting sqref="Q2:Q4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1452-4D2F-42D4-A92F-2D3F25552059}">
  <dimension ref="A1:J35"/>
  <sheetViews>
    <sheetView workbookViewId="0">
      <selection sqref="A1:J1"/>
    </sheetView>
  </sheetViews>
  <sheetFormatPr defaultRowHeight="15" x14ac:dyDescent="0.25"/>
  <cols>
    <col min="1" max="1" width="34.140625" bestFit="1" customWidth="1"/>
    <col min="2" max="2" width="12.7109375" customWidth="1"/>
    <col min="3" max="3" width="5" customWidth="1"/>
    <col min="4" max="4" width="41.5703125" bestFit="1" customWidth="1"/>
    <col min="5" max="5" width="24.7109375" customWidth="1"/>
    <col min="6" max="6" width="4.85546875" customWidth="1"/>
    <col min="7" max="7" width="34.140625" bestFit="1" customWidth="1"/>
    <col min="8" max="8" width="6" customWidth="1"/>
    <col min="9" max="9" width="5.28515625" customWidth="1"/>
    <col min="10" max="12" width="11.28515625" bestFit="1" customWidth="1"/>
    <col min="13" max="13" width="26" bestFit="1" customWidth="1"/>
    <col min="14" max="14" width="23.28515625" bestFit="1" customWidth="1"/>
  </cols>
  <sheetData>
    <row r="1" spans="1:10" ht="31.5" x14ac:dyDescent="0.5">
      <c r="A1" s="32" t="s">
        <v>85</v>
      </c>
      <c r="B1" s="33"/>
      <c r="C1" s="33"/>
      <c r="D1" s="33"/>
      <c r="E1" s="33"/>
      <c r="F1" s="33"/>
      <c r="G1" s="33"/>
      <c r="H1" s="33"/>
      <c r="I1" s="33"/>
      <c r="J1" s="33"/>
    </row>
    <row r="2" spans="1:10" s="15" customFormat="1" ht="6" customHeight="1" x14ac:dyDescent="0.5">
      <c r="A2" s="13"/>
      <c r="B2" s="14"/>
      <c r="C2" s="14"/>
      <c r="D2" s="14"/>
      <c r="E2" s="14"/>
      <c r="F2" s="14"/>
      <c r="G2" s="14"/>
      <c r="H2" s="14"/>
      <c r="I2" s="14"/>
      <c r="J2" s="14"/>
    </row>
    <row r="3" spans="1:10" ht="18.75" x14ac:dyDescent="0.3">
      <c r="A3" s="7" t="s">
        <v>79</v>
      </c>
      <c r="B3" s="6" t="s">
        <v>82</v>
      </c>
      <c r="D3" s="5" t="s">
        <v>81</v>
      </c>
      <c r="E3" s="5" t="s">
        <v>82</v>
      </c>
      <c r="F3" s="5"/>
      <c r="G3" s="12" t="s">
        <v>77</v>
      </c>
      <c r="H3" s="6" t="s">
        <v>71</v>
      </c>
      <c r="I3" s="7"/>
      <c r="J3" s="6"/>
    </row>
    <row r="4" spans="1:10" x14ac:dyDescent="0.25">
      <c r="A4" s="2" t="s">
        <v>64</v>
      </c>
      <c r="B4">
        <v>3</v>
      </c>
      <c r="D4" s="4" t="s">
        <v>66</v>
      </c>
      <c r="E4">
        <f>COUNTA(Finance_data!A2:A41)</f>
        <v>40</v>
      </c>
      <c r="G4" s="10" t="s">
        <v>78</v>
      </c>
      <c r="H4" s="11" t="s">
        <v>36</v>
      </c>
      <c r="I4" s="10" t="s">
        <v>23</v>
      </c>
      <c r="J4" s="11" t="s">
        <v>69</v>
      </c>
    </row>
    <row r="5" spans="1:10" x14ac:dyDescent="0.25">
      <c r="A5" s="2" t="s">
        <v>40</v>
      </c>
      <c r="B5">
        <v>13</v>
      </c>
      <c r="D5" s="4"/>
      <c r="G5" s="2" t="s">
        <v>22</v>
      </c>
      <c r="H5">
        <v>3</v>
      </c>
      <c r="I5" s="2">
        <v>12</v>
      </c>
      <c r="J5">
        <v>15</v>
      </c>
    </row>
    <row r="6" spans="1:10" x14ac:dyDescent="0.25">
      <c r="A6" s="2" t="s">
        <v>31</v>
      </c>
      <c r="B6">
        <v>24</v>
      </c>
      <c r="D6" s="4" t="s">
        <v>68</v>
      </c>
      <c r="G6" s="2" t="s">
        <v>44</v>
      </c>
      <c r="I6" s="2">
        <v>25</v>
      </c>
      <c r="J6">
        <v>25</v>
      </c>
    </row>
    <row r="7" spans="1:10" x14ac:dyDescent="0.25">
      <c r="A7" s="7" t="s">
        <v>69</v>
      </c>
      <c r="B7" s="6">
        <v>40</v>
      </c>
      <c r="D7" s="4" t="s">
        <v>44</v>
      </c>
      <c r="E7">
        <f>COUNTIF(Finance_data!A2:A41,"male")</f>
        <v>25</v>
      </c>
      <c r="G7" s="12" t="s">
        <v>69</v>
      </c>
      <c r="H7" s="6">
        <v>3</v>
      </c>
      <c r="I7" s="7">
        <v>37</v>
      </c>
      <c r="J7" s="6">
        <v>40</v>
      </c>
    </row>
    <row r="8" spans="1:10" x14ac:dyDescent="0.25">
      <c r="D8" s="4" t="s">
        <v>22</v>
      </c>
      <c r="E8">
        <f>COUNTIF(Finance_data!A2:A41,"Female")</f>
        <v>15</v>
      </c>
    </row>
    <row r="9" spans="1:10" x14ac:dyDescent="0.25">
      <c r="D9" s="4"/>
    </row>
    <row r="10" spans="1:10" x14ac:dyDescent="0.25">
      <c r="D10" s="4" t="s">
        <v>72</v>
      </c>
      <c r="E10">
        <f>AVERAGE(Finance_data!B2:B41)</f>
        <v>27.8</v>
      </c>
    </row>
    <row r="11" spans="1:10" x14ac:dyDescent="0.25">
      <c r="D11" s="4"/>
    </row>
    <row r="12" spans="1:10" x14ac:dyDescent="0.25">
      <c r="D12" s="4" t="s">
        <v>73</v>
      </c>
      <c r="E12" s="4" t="s">
        <v>6</v>
      </c>
      <c r="F12" s="4"/>
    </row>
    <row r="13" spans="1:10" x14ac:dyDescent="0.25">
      <c r="D13" s="4"/>
      <c r="E13" s="4"/>
      <c r="F13" s="4"/>
      <c r="G13" s="2"/>
    </row>
    <row r="14" spans="1:10" x14ac:dyDescent="0.25">
      <c r="D14" s="4" t="s">
        <v>80</v>
      </c>
    </row>
    <row r="15" spans="1:10" x14ac:dyDescent="0.25">
      <c r="D15" s="4" t="s">
        <v>7</v>
      </c>
      <c r="E15">
        <f>Finance_data!J42</f>
        <v>239</v>
      </c>
    </row>
    <row r="16" spans="1:10" x14ac:dyDescent="0.25">
      <c r="D16" s="4" t="s">
        <v>47</v>
      </c>
      <c r="E16">
        <f>Finance_data!E42</f>
        <v>139</v>
      </c>
    </row>
    <row r="17" spans="1:8" x14ac:dyDescent="0.25">
      <c r="D17" s="4"/>
    </row>
    <row r="18" spans="1:8" x14ac:dyDescent="0.25">
      <c r="D18" s="4" t="s">
        <v>84</v>
      </c>
      <c r="E18" s="3">
        <f>COUNTIF(Finance_data!P2:P41,"Daily")/100</f>
        <v>0.04</v>
      </c>
      <c r="F18" s="3"/>
      <c r="G18" s="7" t="s">
        <v>83</v>
      </c>
      <c r="H18" s="6"/>
    </row>
    <row r="19" spans="1:8" x14ac:dyDescent="0.25">
      <c r="D19" s="4"/>
      <c r="G19" s="2" t="s">
        <v>74</v>
      </c>
      <c r="H19">
        <v>41</v>
      </c>
    </row>
    <row r="20" spans="1:8" x14ac:dyDescent="0.25">
      <c r="G20" s="2" t="s">
        <v>75</v>
      </c>
      <c r="H20">
        <v>41</v>
      </c>
    </row>
    <row r="21" spans="1:8" x14ac:dyDescent="0.25">
      <c r="G21" s="2" t="s">
        <v>76</v>
      </c>
      <c r="H21">
        <v>41</v>
      </c>
    </row>
    <row r="27" spans="1:8" x14ac:dyDescent="0.25">
      <c r="A27" s="2"/>
    </row>
    <row r="35" spans="1:1" x14ac:dyDescent="0.25">
      <c r="A35" s="2"/>
    </row>
  </sheetData>
  <mergeCells count="1">
    <mergeCell ref="A1:J1"/>
  </mergeCells>
  <pageMargins left="0.7" right="0.7" top="0.75" bottom="0.75" header="0.3" footer="0.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B6E2-DD68-490D-9F6F-C34C53E97022}">
  <dimension ref="A1:N40"/>
  <sheetViews>
    <sheetView zoomScale="90" zoomScaleNormal="90" workbookViewId="0">
      <selection activeCell="N1" sqref="N1"/>
    </sheetView>
  </sheetViews>
  <sheetFormatPr defaultRowHeight="15" x14ac:dyDescent="0.25"/>
  <cols>
    <col min="1" max="1" width="13.28515625" bestFit="1" customWidth="1"/>
    <col min="2" max="2" width="20.7109375" bestFit="1" customWidth="1"/>
    <col min="3" max="3" width="12" bestFit="1" customWidth="1"/>
    <col min="4" max="4" width="22" customWidth="1"/>
    <col min="5" max="5" width="3" customWidth="1"/>
    <col min="6" max="6" width="21.42578125" bestFit="1" customWidth="1"/>
    <col min="7" max="7" width="12.85546875" bestFit="1" customWidth="1"/>
    <col min="8" max="8" width="6.140625" bestFit="1" customWidth="1"/>
    <col min="9" max="9" width="11.28515625" bestFit="1" customWidth="1"/>
    <col min="10" max="10" width="3.28515625" customWidth="1"/>
    <col min="11" max="11" width="20.7109375" bestFit="1" customWidth="1"/>
    <col min="12" max="12" width="18.42578125" bestFit="1" customWidth="1"/>
    <col min="13" max="13" width="2.85546875" customWidth="1"/>
    <col min="14" max="14" width="20.85546875" bestFit="1" customWidth="1"/>
    <col min="15" max="15" width="18.5703125" bestFit="1" customWidth="1"/>
    <col min="16" max="16" width="5.7109375" bestFit="1" customWidth="1"/>
    <col min="17" max="17" width="8" bestFit="1" customWidth="1"/>
    <col min="18" max="18" width="5.7109375" bestFit="1" customWidth="1"/>
    <col min="19" max="19" width="8" bestFit="1" customWidth="1"/>
    <col min="20" max="20" width="5.7109375" bestFit="1" customWidth="1"/>
    <col min="21" max="21" width="8" bestFit="1" customWidth="1"/>
    <col min="22" max="22" width="5.7109375" bestFit="1" customWidth="1"/>
    <col min="23" max="23" width="8" bestFit="1" customWidth="1"/>
    <col min="24" max="24" width="5.7109375" bestFit="1" customWidth="1"/>
    <col min="25" max="25" width="8" bestFit="1" customWidth="1"/>
    <col min="26" max="26" width="5.7109375" bestFit="1" customWidth="1"/>
    <col min="27" max="27" width="8" bestFit="1" customWidth="1"/>
    <col min="28" max="28" width="5.7109375" bestFit="1" customWidth="1"/>
    <col min="29" max="29" width="8" bestFit="1" customWidth="1"/>
    <col min="30" max="30" width="5.7109375" bestFit="1" customWidth="1"/>
    <col min="31" max="31" width="8" bestFit="1" customWidth="1"/>
    <col min="32" max="32" width="5.7109375" bestFit="1" customWidth="1"/>
    <col min="33" max="33" width="8" bestFit="1" customWidth="1"/>
    <col min="34" max="34" width="5.7109375" bestFit="1" customWidth="1"/>
    <col min="35" max="35" width="8" bestFit="1" customWidth="1"/>
    <col min="36" max="36" width="5.7109375" bestFit="1" customWidth="1"/>
    <col min="37" max="37" width="8" bestFit="1" customWidth="1"/>
    <col min="38" max="38" width="5.7109375" bestFit="1" customWidth="1"/>
    <col min="39" max="39" width="8" bestFit="1" customWidth="1"/>
    <col min="40" max="40" width="9.28515625" bestFit="1" customWidth="1"/>
    <col min="41" max="41" width="12.28515625" bestFit="1" customWidth="1"/>
    <col min="42" max="42" width="11.42578125" bestFit="1" customWidth="1"/>
  </cols>
  <sheetData>
    <row r="1" spans="1:14" ht="31.5" x14ac:dyDescent="0.5">
      <c r="A1" s="34" t="s">
        <v>125</v>
      </c>
      <c r="B1" s="34"/>
      <c r="C1" s="34"/>
      <c r="D1" s="34"/>
      <c r="E1" s="34"/>
      <c r="F1" s="34"/>
      <c r="G1" s="34"/>
      <c r="H1" s="34"/>
      <c r="I1" s="34"/>
      <c r="J1" s="34"/>
      <c r="K1" s="34"/>
      <c r="L1" s="34"/>
      <c r="M1" s="11"/>
    </row>
    <row r="2" spans="1:14" s="15" customFormat="1" ht="4.5" customHeight="1" x14ac:dyDescent="0.5">
      <c r="A2" s="24"/>
      <c r="B2" s="25"/>
      <c r="C2" s="25"/>
      <c r="D2" s="25"/>
      <c r="E2" s="25"/>
      <c r="F2" s="25"/>
      <c r="G2" s="25"/>
      <c r="H2" s="25"/>
      <c r="I2" s="25"/>
      <c r="J2" s="25"/>
      <c r="K2" s="25"/>
      <c r="L2" s="25"/>
      <c r="M2" s="25"/>
      <c r="N2" s="25"/>
    </row>
    <row r="3" spans="1:14" x14ac:dyDescent="0.25">
      <c r="A3" s="18" t="s">
        <v>88</v>
      </c>
      <c r="B3" s="18" t="s">
        <v>92</v>
      </c>
      <c r="C3" s="18" t="s">
        <v>94</v>
      </c>
      <c r="D3" s="18" t="s">
        <v>93</v>
      </c>
      <c r="F3" s="18" t="s">
        <v>103</v>
      </c>
      <c r="G3" s="18" t="s">
        <v>88</v>
      </c>
      <c r="H3" s="18"/>
      <c r="I3" s="18"/>
      <c r="K3" s="18" t="s">
        <v>100</v>
      </c>
      <c r="L3" s="18" t="s">
        <v>105</v>
      </c>
    </row>
    <row r="4" spans="1:14" x14ac:dyDescent="0.25">
      <c r="A4" s="2" t="s">
        <v>89</v>
      </c>
      <c r="B4">
        <v>29</v>
      </c>
      <c r="C4">
        <v>56</v>
      </c>
      <c r="D4">
        <v>40</v>
      </c>
      <c r="F4" s="18" t="s">
        <v>12</v>
      </c>
      <c r="G4" s="18" t="s">
        <v>101</v>
      </c>
      <c r="H4" s="18" t="s">
        <v>102</v>
      </c>
      <c r="I4" s="18" t="s">
        <v>69</v>
      </c>
      <c r="K4" s="2" t="s">
        <v>47</v>
      </c>
      <c r="L4" s="16">
        <v>25</v>
      </c>
    </row>
    <row r="5" spans="1:14" x14ac:dyDescent="0.25">
      <c r="A5" s="2" t="s">
        <v>90</v>
      </c>
      <c r="B5">
        <v>53</v>
      </c>
      <c r="C5">
        <v>133</v>
      </c>
      <c r="D5">
        <v>67</v>
      </c>
      <c r="F5" s="2" t="s">
        <v>46</v>
      </c>
      <c r="G5" s="37">
        <v>4</v>
      </c>
      <c r="H5" s="37"/>
      <c r="I5" s="37">
        <v>4</v>
      </c>
      <c r="K5" s="2" t="s">
        <v>63</v>
      </c>
      <c r="L5" s="16">
        <v>26.111111111111111</v>
      </c>
    </row>
    <row r="6" spans="1:14" x14ac:dyDescent="0.25">
      <c r="A6" s="2" t="s">
        <v>91</v>
      </c>
      <c r="B6">
        <v>20</v>
      </c>
      <c r="C6">
        <v>50</v>
      </c>
      <c r="D6">
        <v>36</v>
      </c>
      <c r="F6" s="2" t="s">
        <v>28</v>
      </c>
      <c r="G6" s="37">
        <v>22</v>
      </c>
      <c r="H6" s="37">
        <v>7</v>
      </c>
      <c r="I6" s="37">
        <v>29</v>
      </c>
      <c r="K6" s="2" t="s">
        <v>30</v>
      </c>
      <c r="L6" s="16">
        <v>24.444444444444443</v>
      </c>
    </row>
    <row r="7" spans="1:14" x14ac:dyDescent="0.25">
      <c r="A7" s="19" t="s">
        <v>69</v>
      </c>
      <c r="B7" s="20">
        <v>102</v>
      </c>
      <c r="C7" s="20">
        <v>239</v>
      </c>
      <c r="D7" s="19">
        <v>143</v>
      </c>
      <c r="F7" s="2" t="s">
        <v>39</v>
      </c>
      <c r="G7" s="37">
        <v>5</v>
      </c>
      <c r="H7" s="37">
        <v>2</v>
      </c>
      <c r="I7" s="37">
        <v>7</v>
      </c>
      <c r="K7" s="2" t="s">
        <v>65</v>
      </c>
      <c r="L7" s="16">
        <v>31.666666666666668</v>
      </c>
    </row>
    <row r="8" spans="1:14" x14ac:dyDescent="0.25">
      <c r="F8" s="19" t="s">
        <v>69</v>
      </c>
      <c r="G8" s="37">
        <v>31</v>
      </c>
      <c r="H8" s="37">
        <v>9</v>
      </c>
      <c r="I8" s="37">
        <v>40</v>
      </c>
      <c r="K8" s="19" t="s">
        <v>69</v>
      </c>
      <c r="L8" s="42">
        <v>25.5</v>
      </c>
    </row>
    <row r="10" spans="1:14" x14ac:dyDescent="0.25">
      <c r="F10" s="18" t="s">
        <v>87</v>
      </c>
      <c r="G10" s="18" t="s">
        <v>86</v>
      </c>
      <c r="H10" s="18"/>
      <c r="I10" s="18"/>
    </row>
    <row r="11" spans="1:14" x14ac:dyDescent="0.25">
      <c r="F11" s="18" t="s">
        <v>70</v>
      </c>
      <c r="G11" s="18" t="s">
        <v>22</v>
      </c>
      <c r="H11" s="18" t="s">
        <v>44</v>
      </c>
      <c r="I11" s="18" t="s">
        <v>69</v>
      </c>
    </row>
    <row r="12" spans="1:14" x14ac:dyDescent="0.25">
      <c r="F12" s="2" t="s">
        <v>36</v>
      </c>
      <c r="G12">
        <v>3</v>
      </c>
      <c r="I12">
        <v>3</v>
      </c>
    </row>
    <row r="13" spans="1:14" x14ac:dyDescent="0.25">
      <c r="F13" s="2" t="s">
        <v>23</v>
      </c>
      <c r="G13">
        <v>12</v>
      </c>
      <c r="H13">
        <v>25</v>
      </c>
      <c r="I13">
        <v>37</v>
      </c>
    </row>
    <row r="14" spans="1:14" x14ac:dyDescent="0.25">
      <c r="F14" s="19" t="s">
        <v>69</v>
      </c>
      <c r="G14" s="20">
        <v>15</v>
      </c>
      <c r="H14" s="20">
        <v>25</v>
      </c>
      <c r="I14" s="20">
        <v>40</v>
      </c>
    </row>
    <row r="16" spans="1:14" x14ac:dyDescent="0.25">
      <c r="F16" s="26" t="s">
        <v>98</v>
      </c>
      <c r="G16" s="18" t="s">
        <v>97</v>
      </c>
    </row>
    <row r="17" spans="6:12" x14ac:dyDescent="0.25">
      <c r="F17" s="2" t="s">
        <v>27</v>
      </c>
      <c r="G17">
        <v>18</v>
      </c>
    </row>
    <row r="18" spans="6:12" x14ac:dyDescent="0.25">
      <c r="F18" s="2" t="s">
        <v>45</v>
      </c>
      <c r="G18">
        <v>19</v>
      </c>
    </row>
    <row r="19" spans="6:12" x14ac:dyDescent="0.25">
      <c r="F19" s="2" t="s">
        <v>52</v>
      </c>
      <c r="G19">
        <v>2</v>
      </c>
      <c r="K19" s="8" t="s">
        <v>47</v>
      </c>
      <c r="L19" s="9">
        <f>Finance_data!E42</f>
        <v>139</v>
      </c>
    </row>
    <row r="20" spans="6:12" x14ac:dyDescent="0.25">
      <c r="F20" s="2" t="s">
        <v>38</v>
      </c>
      <c r="G20">
        <v>1</v>
      </c>
      <c r="K20" s="2" t="s">
        <v>104</v>
      </c>
      <c r="L20">
        <f>Finance_data!D42</f>
        <v>102</v>
      </c>
    </row>
    <row r="21" spans="6:12" x14ac:dyDescent="0.25">
      <c r="F21" s="19" t="s">
        <v>69</v>
      </c>
      <c r="G21" s="20">
        <v>40</v>
      </c>
      <c r="K21" s="8" t="s">
        <v>96</v>
      </c>
      <c r="L21" s="17">
        <f>COUNTIF(Finance_data!Z2:Z41,"yes")/COUNTA(Finance_data!Z2:Z41)</f>
        <v>0.375</v>
      </c>
    </row>
    <row r="40" spans="8:8" x14ac:dyDescent="0.25">
      <c r="H40" s="2"/>
    </row>
  </sheetData>
  <mergeCells count="1">
    <mergeCell ref="A1:L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D5D6-38AB-4E2E-9436-A0335E64AAA0}">
  <dimension ref="A1:O17"/>
  <sheetViews>
    <sheetView showGridLines="0" zoomScale="90" zoomScaleNormal="90" workbookViewId="0">
      <selection activeCell="P15" sqref="P15"/>
    </sheetView>
  </sheetViews>
  <sheetFormatPr defaultRowHeight="15" x14ac:dyDescent="0.25"/>
  <cols>
    <col min="1" max="1" width="15.5703125" bestFit="1" customWidth="1"/>
    <col min="2" max="2" width="16.28515625" bestFit="1" customWidth="1"/>
    <col min="3" max="3" width="5.5703125" bestFit="1" customWidth="1"/>
    <col min="4" max="4" width="7.28515625" bestFit="1" customWidth="1"/>
    <col min="5" max="5" width="11.28515625" customWidth="1"/>
    <col min="6" max="6" width="4" customWidth="1"/>
    <col min="7" max="7" width="21.140625" bestFit="1" customWidth="1"/>
    <col min="8" max="8" width="12" bestFit="1" customWidth="1"/>
    <col min="9" max="9" width="8.5703125" bestFit="1" customWidth="1"/>
    <col min="10" max="10" width="11.28515625" bestFit="1" customWidth="1"/>
    <col min="11" max="11" width="4.42578125" customWidth="1"/>
    <col min="12" max="12" width="21.140625" bestFit="1" customWidth="1"/>
    <col min="13" max="13" width="12" bestFit="1" customWidth="1"/>
    <col min="14" max="14" width="8.5703125" bestFit="1" customWidth="1"/>
    <col min="15" max="15" width="11.28515625" bestFit="1" customWidth="1"/>
    <col min="16" max="16" width="21.140625" bestFit="1" customWidth="1"/>
    <col min="17" max="17" width="12" bestFit="1" customWidth="1"/>
    <col min="18" max="18" width="8.5703125" bestFit="1" customWidth="1"/>
    <col min="19" max="20" width="11.28515625" bestFit="1" customWidth="1"/>
    <col min="21" max="21" width="5.5703125" bestFit="1" customWidth="1"/>
    <col min="22" max="22" width="11.28515625" bestFit="1" customWidth="1"/>
    <col min="23" max="23" width="9.28515625" bestFit="1" customWidth="1"/>
    <col min="24" max="24" width="8.5703125" bestFit="1" customWidth="1"/>
    <col min="25" max="25" width="10.42578125" bestFit="1" customWidth="1"/>
    <col min="26" max="26" width="11.28515625" bestFit="1" customWidth="1"/>
  </cols>
  <sheetData>
    <row r="1" spans="1:15" ht="31.5" x14ac:dyDescent="0.5">
      <c r="A1" s="35" t="s">
        <v>126</v>
      </c>
      <c r="B1" s="36"/>
      <c r="C1" s="36"/>
      <c r="D1" s="36"/>
      <c r="E1" s="36"/>
      <c r="F1" s="36"/>
      <c r="G1" s="36"/>
      <c r="H1" s="36"/>
      <c r="I1" s="36"/>
      <c r="J1" s="36"/>
      <c r="K1" s="36"/>
      <c r="L1" s="36"/>
      <c r="M1" s="36"/>
      <c r="N1" s="36"/>
      <c r="O1" s="36"/>
    </row>
    <row r="3" spans="1:15" x14ac:dyDescent="0.25">
      <c r="A3" s="21" t="s">
        <v>166</v>
      </c>
      <c r="B3" s="21" t="s">
        <v>86</v>
      </c>
      <c r="C3" s="21"/>
      <c r="D3" s="21"/>
      <c r="L3" s="21" t="s">
        <v>117</v>
      </c>
      <c r="M3" s="21" t="s">
        <v>111</v>
      </c>
      <c r="N3" s="21"/>
      <c r="O3" s="21"/>
    </row>
    <row r="4" spans="1:15" x14ac:dyDescent="0.25">
      <c r="A4" s="21" t="s">
        <v>70</v>
      </c>
      <c r="B4" s="21" t="s">
        <v>22</v>
      </c>
      <c r="C4" s="21" t="s">
        <v>44</v>
      </c>
      <c r="D4" s="21" t="s">
        <v>127</v>
      </c>
      <c r="E4" s="21" t="s">
        <v>69</v>
      </c>
      <c r="L4" s="23" t="s">
        <v>118</v>
      </c>
      <c r="M4" s="23" t="s">
        <v>22</v>
      </c>
      <c r="N4" s="23" t="s">
        <v>44</v>
      </c>
      <c r="O4" s="23" t="s">
        <v>69</v>
      </c>
    </row>
    <row r="5" spans="1:15" x14ac:dyDescent="0.25">
      <c r="A5" s="41" t="s">
        <v>64</v>
      </c>
      <c r="B5" s="40">
        <v>21</v>
      </c>
      <c r="C5" s="40">
        <v>53</v>
      </c>
      <c r="D5" s="40"/>
      <c r="E5" s="40">
        <v>74</v>
      </c>
      <c r="L5" s="23" t="s">
        <v>115</v>
      </c>
      <c r="M5" s="23">
        <v>9</v>
      </c>
      <c r="N5" s="23">
        <v>21</v>
      </c>
      <c r="O5" s="23">
        <v>30</v>
      </c>
    </row>
    <row r="6" spans="1:15" x14ac:dyDescent="0.25">
      <c r="A6" s="41" t="s">
        <v>40</v>
      </c>
      <c r="B6" s="40">
        <v>100</v>
      </c>
      <c r="C6" s="40">
        <v>249</v>
      </c>
      <c r="D6" s="40"/>
      <c r="E6" s="40">
        <v>349</v>
      </c>
      <c r="L6" s="23" t="s">
        <v>110</v>
      </c>
      <c r="M6" s="23">
        <v>1</v>
      </c>
      <c r="N6" s="23">
        <v>3</v>
      </c>
      <c r="O6" s="23">
        <v>4</v>
      </c>
    </row>
    <row r="7" spans="1:15" x14ac:dyDescent="0.25">
      <c r="A7" s="41" t="s">
        <v>31</v>
      </c>
      <c r="B7" s="40">
        <v>295</v>
      </c>
      <c r="C7" s="40">
        <v>394</v>
      </c>
      <c r="D7" s="40"/>
      <c r="E7" s="40">
        <v>689</v>
      </c>
      <c r="L7" s="23" t="s">
        <v>107</v>
      </c>
      <c r="M7" s="23">
        <v>8</v>
      </c>
      <c r="N7" s="23">
        <v>18</v>
      </c>
      <c r="O7" s="23">
        <v>26</v>
      </c>
    </row>
    <row r="8" spans="1:15" x14ac:dyDescent="0.25">
      <c r="A8" s="2" t="s">
        <v>127</v>
      </c>
      <c r="B8" s="37"/>
      <c r="C8" s="37"/>
      <c r="D8" s="37"/>
      <c r="E8" s="37"/>
      <c r="L8" s="23" t="s">
        <v>116</v>
      </c>
      <c r="M8" s="23">
        <v>6</v>
      </c>
      <c r="N8" s="23">
        <v>4</v>
      </c>
      <c r="O8" s="23">
        <v>10</v>
      </c>
    </row>
    <row r="9" spans="1:15" x14ac:dyDescent="0.25">
      <c r="A9" s="39" t="s">
        <v>69</v>
      </c>
      <c r="B9" s="38">
        <v>416</v>
      </c>
      <c r="C9" s="38">
        <v>696</v>
      </c>
      <c r="D9" s="38"/>
      <c r="E9" s="38">
        <v>1112</v>
      </c>
      <c r="L9" s="23" t="s">
        <v>110</v>
      </c>
      <c r="M9" s="23">
        <v>1</v>
      </c>
      <c r="N9" s="23">
        <v>1</v>
      </c>
      <c r="O9" s="23">
        <v>2</v>
      </c>
    </row>
    <row r="10" spans="1:15" x14ac:dyDescent="0.25">
      <c r="L10" s="23" t="s">
        <v>107</v>
      </c>
      <c r="M10" s="23">
        <v>5</v>
      </c>
      <c r="N10" s="23">
        <v>3</v>
      </c>
      <c r="O10" s="23">
        <v>8</v>
      </c>
    </row>
    <row r="11" spans="1:15" x14ac:dyDescent="0.25">
      <c r="G11" s="21" t="s">
        <v>112</v>
      </c>
      <c r="H11" s="21" t="s">
        <v>111</v>
      </c>
      <c r="I11" s="21"/>
      <c r="J11" s="21"/>
      <c r="L11" s="21" t="s">
        <v>69</v>
      </c>
      <c r="M11" s="21">
        <v>15</v>
      </c>
      <c r="N11" s="21">
        <v>25</v>
      </c>
      <c r="O11" s="21">
        <v>40</v>
      </c>
    </row>
    <row r="12" spans="1:15" x14ac:dyDescent="0.25">
      <c r="G12" s="21" t="s">
        <v>113</v>
      </c>
      <c r="H12" s="21" t="s">
        <v>22</v>
      </c>
      <c r="I12" s="21" t="s">
        <v>44</v>
      </c>
      <c r="J12" s="21" t="s">
        <v>69</v>
      </c>
    </row>
    <row r="13" spans="1:15" x14ac:dyDescent="0.25">
      <c r="G13" s="23" t="s">
        <v>110</v>
      </c>
      <c r="H13" s="23">
        <v>2</v>
      </c>
      <c r="I13" s="23">
        <v>4</v>
      </c>
      <c r="J13" s="23">
        <v>6</v>
      </c>
      <c r="L13" s="21" t="s">
        <v>123</v>
      </c>
      <c r="M13" s="21" t="s">
        <v>109</v>
      </c>
      <c r="N13" s="21"/>
      <c r="O13" s="21"/>
    </row>
    <row r="14" spans="1:15" x14ac:dyDescent="0.25">
      <c r="G14" s="23" t="s">
        <v>107</v>
      </c>
      <c r="H14" s="23">
        <v>13</v>
      </c>
      <c r="I14" s="23">
        <v>21</v>
      </c>
      <c r="J14" s="23">
        <v>34</v>
      </c>
      <c r="L14" s="21" t="s">
        <v>124</v>
      </c>
      <c r="M14" s="21" t="s">
        <v>122</v>
      </c>
      <c r="N14" s="21" t="s">
        <v>107</v>
      </c>
      <c r="O14" s="21" t="s">
        <v>69</v>
      </c>
    </row>
    <row r="15" spans="1:15" x14ac:dyDescent="0.25">
      <c r="G15" s="21" t="s">
        <v>69</v>
      </c>
      <c r="H15" s="21">
        <v>15</v>
      </c>
      <c r="I15" s="21">
        <v>25</v>
      </c>
      <c r="J15" s="21">
        <v>40</v>
      </c>
      <c r="L15" s="23" t="s">
        <v>121</v>
      </c>
      <c r="M15" s="23">
        <v>6</v>
      </c>
      <c r="N15" s="23"/>
      <c r="O15" s="23">
        <v>6</v>
      </c>
    </row>
    <row r="16" spans="1:15" x14ac:dyDescent="0.25">
      <c r="L16" s="23" t="s">
        <v>120</v>
      </c>
      <c r="M16" s="23"/>
      <c r="N16" s="23">
        <v>34</v>
      </c>
      <c r="O16" s="23">
        <v>34</v>
      </c>
    </row>
    <row r="17" spans="12:15" x14ac:dyDescent="0.25">
      <c r="L17" s="22" t="s">
        <v>69</v>
      </c>
      <c r="M17" s="22">
        <v>6</v>
      </c>
      <c r="N17" s="22">
        <v>34</v>
      </c>
      <c r="O17" s="22">
        <v>40</v>
      </c>
    </row>
  </sheetData>
  <mergeCells count="1">
    <mergeCell ref="A1:O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2C3D-1F1F-4133-B690-F96A3282DA56}">
  <dimension ref="A1:M76"/>
  <sheetViews>
    <sheetView topLeftCell="A14" workbookViewId="0">
      <selection activeCell="N23" sqref="N23"/>
    </sheetView>
  </sheetViews>
  <sheetFormatPr defaultRowHeight="15" x14ac:dyDescent="0.25"/>
  <sheetData>
    <row r="1" spans="1:8" ht="33.75" x14ac:dyDescent="0.5">
      <c r="A1" s="30" t="s">
        <v>128</v>
      </c>
      <c r="B1" s="31"/>
      <c r="C1" s="31"/>
      <c r="D1" s="31"/>
      <c r="E1" s="31"/>
      <c r="F1" s="31"/>
      <c r="G1" s="31"/>
      <c r="H1" s="31"/>
    </row>
    <row r="2" spans="1:8" x14ac:dyDescent="0.25">
      <c r="A2" s="27"/>
      <c r="B2" s="27"/>
      <c r="C2" s="27"/>
      <c r="D2" s="27"/>
      <c r="E2" s="27"/>
      <c r="F2" s="27"/>
      <c r="G2" s="27"/>
      <c r="H2" s="27"/>
    </row>
    <row r="3" spans="1:8" ht="27.75" customHeight="1" x14ac:dyDescent="0.25">
      <c r="A3" s="28" t="s">
        <v>156</v>
      </c>
      <c r="B3" s="23"/>
      <c r="C3" s="23"/>
      <c r="D3" s="23"/>
      <c r="E3" s="23"/>
      <c r="F3" s="23"/>
      <c r="G3" s="23"/>
      <c r="H3" s="23"/>
    </row>
    <row r="4" spans="1:8" x14ac:dyDescent="0.25">
      <c r="A4" s="29"/>
      <c r="B4" s="23"/>
      <c r="C4" s="23"/>
      <c r="D4" s="23"/>
      <c r="E4" s="23"/>
      <c r="F4" s="23"/>
      <c r="G4" s="23"/>
      <c r="H4" s="23"/>
    </row>
    <row r="5" spans="1:8" x14ac:dyDescent="0.25">
      <c r="A5" s="29" t="s">
        <v>129</v>
      </c>
      <c r="B5" s="23"/>
      <c r="C5" s="23"/>
      <c r="D5" s="23"/>
      <c r="E5" s="23"/>
      <c r="F5" s="23"/>
      <c r="G5" s="23"/>
      <c r="H5" s="23"/>
    </row>
    <row r="6" spans="1:8" x14ac:dyDescent="0.25">
      <c r="A6" s="29" t="s">
        <v>130</v>
      </c>
      <c r="B6" s="23"/>
      <c r="C6" s="23"/>
      <c r="D6" s="23"/>
      <c r="E6" s="23"/>
      <c r="F6" s="23"/>
      <c r="G6" s="23"/>
      <c r="H6" s="23"/>
    </row>
    <row r="7" spans="1:8" x14ac:dyDescent="0.25">
      <c r="A7" s="29" t="s">
        <v>131</v>
      </c>
      <c r="B7" s="23"/>
      <c r="C7" s="23"/>
      <c r="D7" s="23"/>
      <c r="E7" s="23"/>
      <c r="F7" s="23"/>
      <c r="G7" s="23"/>
      <c r="H7" s="23"/>
    </row>
    <row r="8" spans="1:8" x14ac:dyDescent="0.25">
      <c r="A8" s="29" t="s">
        <v>132</v>
      </c>
      <c r="B8" s="23"/>
      <c r="C8" s="23"/>
      <c r="D8" s="23"/>
      <c r="E8" s="23"/>
      <c r="F8" s="23"/>
      <c r="G8" s="23"/>
      <c r="H8" s="23"/>
    </row>
    <row r="9" spans="1:8" x14ac:dyDescent="0.25">
      <c r="A9" s="23"/>
      <c r="B9" s="23"/>
      <c r="C9" s="23"/>
      <c r="D9" s="23"/>
      <c r="E9" s="23"/>
      <c r="F9" s="23"/>
      <c r="G9" s="23"/>
      <c r="H9" s="23"/>
    </row>
    <row r="10" spans="1:8" x14ac:dyDescent="0.25">
      <c r="A10" s="23"/>
      <c r="B10" s="23"/>
      <c r="C10" s="23"/>
      <c r="D10" s="23"/>
      <c r="E10" s="23"/>
      <c r="F10" s="23"/>
      <c r="G10" s="23"/>
      <c r="H10" s="23"/>
    </row>
    <row r="11" spans="1:8" x14ac:dyDescent="0.25">
      <c r="A11" s="23"/>
      <c r="B11" s="23"/>
      <c r="C11" s="23"/>
      <c r="D11" s="23"/>
      <c r="E11" s="23"/>
      <c r="F11" s="23"/>
      <c r="G11" s="23"/>
      <c r="H11" s="23"/>
    </row>
    <row r="12" spans="1:8" ht="31.5" x14ac:dyDescent="0.25">
      <c r="A12" s="28" t="s">
        <v>157</v>
      </c>
      <c r="B12" s="23"/>
      <c r="C12" s="23"/>
      <c r="D12" s="23"/>
      <c r="E12" s="23"/>
      <c r="F12" s="23"/>
      <c r="G12" s="23"/>
      <c r="H12" s="23"/>
    </row>
    <row r="13" spans="1:8" x14ac:dyDescent="0.25">
      <c r="A13" s="29"/>
      <c r="B13" s="23"/>
      <c r="C13" s="23"/>
      <c r="D13" s="23"/>
      <c r="E13" s="23"/>
      <c r="F13" s="23"/>
      <c r="G13" s="23"/>
      <c r="H13" s="23"/>
    </row>
    <row r="14" spans="1:8" x14ac:dyDescent="0.25">
      <c r="A14" s="29" t="s">
        <v>133</v>
      </c>
      <c r="B14" s="23"/>
      <c r="C14" s="23"/>
      <c r="D14" s="23"/>
      <c r="E14" s="23"/>
      <c r="F14" s="23"/>
      <c r="G14" s="23"/>
      <c r="H14" s="23"/>
    </row>
    <row r="15" spans="1:8" x14ac:dyDescent="0.25">
      <c r="A15" s="29" t="s">
        <v>134</v>
      </c>
      <c r="B15" s="23"/>
      <c r="C15" s="23"/>
      <c r="D15" s="23"/>
      <c r="E15" s="23"/>
      <c r="F15" s="23"/>
      <c r="G15" s="23"/>
      <c r="H15" s="23"/>
    </row>
    <row r="16" spans="1:8" x14ac:dyDescent="0.25">
      <c r="A16" s="29" t="s">
        <v>135</v>
      </c>
      <c r="B16" s="23"/>
      <c r="C16" s="23"/>
      <c r="D16" s="23"/>
      <c r="E16" s="23"/>
      <c r="F16" s="23"/>
      <c r="G16" s="23"/>
      <c r="H16" s="23"/>
    </row>
    <row r="17" spans="1:13" x14ac:dyDescent="0.25">
      <c r="A17" s="23"/>
      <c r="B17" s="23"/>
      <c r="C17" s="23"/>
      <c r="D17" s="23"/>
      <c r="E17" s="23"/>
      <c r="F17" s="23"/>
      <c r="G17" s="23"/>
      <c r="H17" s="23"/>
      <c r="M17" t="s">
        <v>167</v>
      </c>
    </row>
    <row r="18" spans="1:13" x14ac:dyDescent="0.25">
      <c r="A18" s="23"/>
      <c r="B18" s="23"/>
      <c r="C18" s="23"/>
      <c r="D18" s="23"/>
      <c r="E18" s="23"/>
      <c r="F18" s="23"/>
      <c r="G18" s="23"/>
      <c r="H18" s="23"/>
    </row>
    <row r="19" spans="1:13" x14ac:dyDescent="0.25">
      <c r="A19" s="23"/>
      <c r="B19" s="23"/>
      <c r="C19" s="23"/>
      <c r="D19" s="23"/>
      <c r="E19" s="23"/>
      <c r="F19" s="23"/>
      <c r="G19" s="23"/>
      <c r="H19" s="23"/>
    </row>
    <row r="20" spans="1:13" ht="31.5" x14ac:dyDescent="0.25">
      <c r="A20" s="28" t="s">
        <v>158</v>
      </c>
      <c r="B20" s="23"/>
      <c r="C20" s="23"/>
      <c r="D20" s="23"/>
      <c r="E20" s="23"/>
      <c r="F20" s="23"/>
      <c r="G20" s="23"/>
      <c r="H20" s="23"/>
    </row>
    <row r="21" spans="1:13" x14ac:dyDescent="0.25">
      <c r="A21" s="29"/>
      <c r="B21" s="23"/>
      <c r="C21" s="23"/>
      <c r="D21" s="23"/>
      <c r="E21" s="23"/>
      <c r="F21" s="23"/>
      <c r="G21" s="23"/>
      <c r="H21" s="23"/>
    </row>
    <row r="22" spans="1:13" x14ac:dyDescent="0.25">
      <c r="A22" s="29" t="s">
        <v>136</v>
      </c>
      <c r="B22" s="23"/>
      <c r="C22" s="23"/>
      <c r="D22" s="23"/>
      <c r="E22" s="23"/>
      <c r="F22" s="23"/>
      <c r="G22" s="23"/>
      <c r="H22" s="23"/>
    </row>
    <row r="23" spans="1:13" x14ac:dyDescent="0.25">
      <c r="A23" s="29" t="s">
        <v>137</v>
      </c>
      <c r="B23" s="23"/>
      <c r="C23" s="23"/>
      <c r="D23" s="23"/>
      <c r="E23" s="23"/>
      <c r="F23" s="23"/>
      <c r="G23" s="23"/>
      <c r="H23" s="23"/>
    </row>
    <row r="24" spans="1:13" x14ac:dyDescent="0.25">
      <c r="A24" s="29" t="s">
        <v>138</v>
      </c>
      <c r="B24" s="23"/>
      <c r="C24" s="23"/>
      <c r="D24" s="23"/>
      <c r="E24" s="23"/>
      <c r="F24" s="23"/>
      <c r="G24" s="23"/>
      <c r="H24" s="23"/>
    </row>
    <row r="25" spans="1:13" x14ac:dyDescent="0.25">
      <c r="A25" s="23"/>
      <c r="B25" s="23"/>
      <c r="C25" s="23"/>
      <c r="D25" s="23"/>
      <c r="E25" s="23"/>
      <c r="F25" s="23"/>
      <c r="G25" s="23"/>
      <c r="H25" s="23"/>
    </row>
    <row r="26" spans="1:13" x14ac:dyDescent="0.25">
      <c r="A26" s="23"/>
      <c r="B26" s="23"/>
      <c r="C26" s="23"/>
      <c r="D26" s="23"/>
      <c r="E26" s="23"/>
      <c r="F26" s="23"/>
      <c r="G26" s="23"/>
      <c r="H26" s="23"/>
    </row>
    <row r="27" spans="1:13" x14ac:dyDescent="0.25">
      <c r="A27" s="23"/>
      <c r="B27" s="23"/>
      <c r="C27" s="23"/>
      <c r="D27" s="23"/>
      <c r="E27" s="23"/>
      <c r="F27" s="23"/>
      <c r="G27" s="23"/>
      <c r="H27" s="23"/>
    </row>
    <row r="28" spans="1:13" ht="31.5" x14ac:dyDescent="0.25">
      <c r="A28" s="28" t="s">
        <v>159</v>
      </c>
      <c r="B28" s="23"/>
      <c r="C28" s="23"/>
      <c r="D28" s="23"/>
      <c r="E28" s="23"/>
      <c r="F28" s="23"/>
      <c r="G28" s="23"/>
      <c r="H28" s="23"/>
    </row>
    <row r="29" spans="1:13" x14ac:dyDescent="0.25">
      <c r="A29" s="29"/>
      <c r="B29" s="23"/>
      <c r="C29" s="23"/>
      <c r="D29" s="23"/>
      <c r="E29" s="23"/>
      <c r="F29" s="23"/>
      <c r="G29" s="23"/>
      <c r="H29" s="23"/>
    </row>
    <row r="30" spans="1:13" x14ac:dyDescent="0.25">
      <c r="A30" s="29" t="s">
        <v>139</v>
      </c>
      <c r="B30" s="23"/>
      <c r="C30" s="23"/>
      <c r="D30" s="23"/>
      <c r="E30" s="23"/>
      <c r="F30" s="23"/>
      <c r="G30" s="23"/>
      <c r="H30" s="23"/>
    </row>
    <row r="31" spans="1:13" x14ac:dyDescent="0.25">
      <c r="A31" s="29" t="s">
        <v>140</v>
      </c>
      <c r="B31" s="23"/>
      <c r="C31" s="23"/>
      <c r="D31" s="23"/>
      <c r="E31" s="23"/>
      <c r="F31" s="23"/>
      <c r="G31" s="23"/>
      <c r="H31" s="23"/>
    </row>
    <row r="32" spans="1:13" x14ac:dyDescent="0.25">
      <c r="A32" s="29" t="s">
        <v>141</v>
      </c>
      <c r="B32" s="23"/>
      <c r="C32" s="23"/>
      <c r="D32" s="23"/>
      <c r="E32" s="23"/>
      <c r="F32" s="23"/>
      <c r="G32" s="23"/>
      <c r="H32" s="23"/>
    </row>
    <row r="33" spans="1:8" x14ac:dyDescent="0.25">
      <c r="A33" s="23"/>
      <c r="B33" s="23"/>
      <c r="C33" s="23"/>
      <c r="D33" s="23"/>
      <c r="E33" s="23"/>
      <c r="F33" s="23"/>
      <c r="G33" s="23"/>
      <c r="H33" s="23"/>
    </row>
    <row r="34" spans="1:8" x14ac:dyDescent="0.25">
      <c r="A34" s="23"/>
      <c r="B34" s="23"/>
      <c r="C34" s="23"/>
      <c r="D34" s="23"/>
      <c r="E34" s="23"/>
      <c r="F34" s="23"/>
      <c r="G34" s="23"/>
      <c r="H34" s="23"/>
    </row>
    <row r="35" spans="1:8" x14ac:dyDescent="0.25">
      <c r="A35" s="23"/>
      <c r="B35" s="23"/>
      <c r="C35" s="23"/>
      <c r="D35" s="23"/>
      <c r="E35" s="23"/>
      <c r="F35" s="23"/>
      <c r="G35" s="23"/>
      <c r="H35" s="23"/>
    </row>
    <row r="36" spans="1:8" ht="31.5" x14ac:dyDescent="0.25">
      <c r="A36" s="28" t="s">
        <v>160</v>
      </c>
      <c r="B36" s="23"/>
      <c r="C36" s="23"/>
      <c r="D36" s="23"/>
      <c r="E36" s="23"/>
      <c r="F36" s="23"/>
      <c r="G36" s="23"/>
      <c r="H36" s="23"/>
    </row>
    <row r="37" spans="1:8" x14ac:dyDescent="0.25">
      <c r="A37" s="29"/>
      <c r="B37" s="23"/>
      <c r="C37" s="23"/>
      <c r="D37" s="23"/>
      <c r="E37" s="23"/>
      <c r="F37" s="23"/>
      <c r="G37" s="23"/>
      <c r="H37" s="23"/>
    </row>
    <row r="38" spans="1:8" x14ac:dyDescent="0.25">
      <c r="A38" s="29" t="s">
        <v>142</v>
      </c>
      <c r="B38" s="23"/>
      <c r="C38" s="23"/>
      <c r="D38" s="23"/>
      <c r="E38" s="23"/>
      <c r="F38" s="23"/>
      <c r="G38" s="23"/>
      <c r="H38" s="23"/>
    </row>
    <row r="39" spans="1:8" x14ac:dyDescent="0.25">
      <c r="A39" s="29" t="s">
        <v>143</v>
      </c>
      <c r="B39" s="23"/>
      <c r="C39" s="23"/>
      <c r="D39" s="23"/>
      <c r="E39" s="23"/>
      <c r="F39" s="23"/>
      <c r="G39" s="23"/>
      <c r="H39" s="23"/>
    </row>
    <row r="40" spans="1:8" x14ac:dyDescent="0.25">
      <c r="A40" s="29" t="s">
        <v>144</v>
      </c>
      <c r="B40" s="23"/>
      <c r="C40" s="23"/>
      <c r="D40" s="23"/>
      <c r="E40" s="23"/>
      <c r="F40" s="23"/>
      <c r="G40" s="23"/>
      <c r="H40" s="23"/>
    </row>
    <row r="41" spans="1:8" x14ac:dyDescent="0.25">
      <c r="A41" s="23"/>
      <c r="B41" s="23"/>
      <c r="C41" s="23"/>
      <c r="D41" s="23"/>
      <c r="E41" s="23"/>
      <c r="F41" s="23"/>
      <c r="G41" s="23"/>
      <c r="H41" s="23"/>
    </row>
    <row r="42" spans="1:8" x14ac:dyDescent="0.25">
      <c r="A42" s="23"/>
      <c r="B42" s="23"/>
      <c r="C42" s="23"/>
      <c r="D42" s="23"/>
      <c r="E42" s="23"/>
      <c r="F42" s="23"/>
      <c r="G42" s="23"/>
      <c r="H42" s="23"/>
    </row>
    <row r="43" spans="1:8" x14ac:dyDescent="0.25">
      <c r="A43" s="23"/>
      <c r="B43" s="23"/>
      <c r="C43" s="23"/>
      <c r="D43" s="23"/>
      <c r="E43" s="23"/>
      <c r="F43" s="23"/>
      <c r="G43" s="23"/>
      <c r="H43" s="23"/>
    </row>
    <row r="44" spans="1:8" ht="31.5" x14ac:dyDescent="0.25">
      <c r="A44" s="28" t="s">
        <v>161</v>
      </c>
      <c r="B44" s="23"/>
      <c r="C44" s="23"/>
      <c r="D44" s="23"/>
      <c r="E44" s="23"/>
      <c r="F44" s="23"/>
      <c r="G44" s="23"/>
      <c r="H44" s="23"/>
    </row>
    <row r="45" spans="1:8" x14ac:dyDescent="0.25">
      <c r="A45" s="29"/>
      <c r="B45" s="23"/>
      <c r="C45" s="23"/>
      <c r="D45" s="23"/>
      <c r="E45" s="23"/>
      <c r="F45" s="23"/>
      <c r="G45" s="23"/>
      <c r="H45" s="23"/>
    </row>
    <row r="46" spans="1:8" x14ac:dyDescent="0.25">
      <c r="A46" s="29" t="s">
        <v>145</v>
      </c>
      <c r="B46" s="23"/>
      <c r="C46" s="23"/>
      <c r="D46" s="23"/>
      <c r="E46" s="23"/>
      <c r="F46" s="23"/>
      <c r="G46" s="23"/>
      <c r="H46" s="23"/>
    </row>
    <row r="47" spans="1:8" x14ac:dyDescent="0.25">
      <c r="A47" s="29" t="s">
        <v>146</v>
      </c>
      <c r="B47" s="23"/>
      <c r="C47" s="23"/>
      <c r="D47" s="23"/>
      <c r="E47" s="23"/>
      <c r="F47" s="23"/>
      <c r="G47" s="23"/>
      <c r="H47" s="23"/>
    </row>
    <row r="48" spans="1:8" x14ac:dyDescent="0.25">
      <c r="A48" s="23"/>
      <c r="B48" s="23"/>
      <c r="C48" s="23"/>
      <c r="D48" s="23"/>
      <c r="E48" s="23"/>
      <c r="F48" s="23"/>
      <c r="G48" s="23"/>
      <c r="H48" s="23"/>
    </row>
    <row r="49" spans="1:8" x14ac:dyDescent="0.25">
      <c r="A49" s="23"/>
      <c r="B49" s="23"/>
      <c r="C49" s="23"/>
      <c r="D49" s="23"/>
      <c r="E49" s="23"/>
      <c r="F49" s="23"/>
      <c r="G49" s="23"/>
      <c r="H49" s="23"/>
    </row>
    <row r="50" spans="1:8" x14ac:dyDescent="0.25">
      <c r="A50" s="23"/>
      <c r="B50" s="23"/>
      <c r="C50" s="23"/>
      <c r="D50" s="23"/>
      <c r="E50" s="23"/>
      <c r="F50" s="23"/>
      <c r="G50" s="23"/>
      <c r="H50" s="23"/>
    </row>
    <row r="51" spans="1:8" ht="31.5" x14ac:dyDescent="0.25">
      <c r="A51" s="28" t="s">
        <v>162</v>
      </c>
      <c r="B51" s="23"/>
      <c r="C51" s="23"/>
      <c r="D51" s="23"/>
      <c r="E51" s="23"/>
      <c r="F51" s="23"/>
      <c r="G51" s="23"/>
      <c r="H51" s="23"/>
    </row>
    <row r="52" spans="1:8" x14ac:dyDescent="0.25">
      <c r="A52" s="29"/>
      <c r="B52" s="23"/>
      <c r="C52" s="23"/>
      <c r="D52" s="23"/>
      <c r="E52" s="23"/>
      <c r="F52" s="23"/>
      <c r="G52" s="23"/>
      <c r="H52" s="23"/>
    </row>
    <row r="53" spans="1:8" x14ac:dyDescent="0.25">
      <c r="A53" s="29" t="s">
        <v>147</v>
      </c>
      <c r="B53" s="23"/>
      <c r="C53" s="23"/>
      <c r="D53" s="23"/>
      <c r="E53" s="23"/>
      <c r="F53" s="23"/>
      <c r="G53" s="23"/>
      <c r="H53" s="23"/>
    </row>
    <row r="54" spans="1:8" x14ac:dyDescent="0.25">
      <c r="A54" s="29" t="s">
        <v>148</v>
      </c>
      <c r="B54" s="23"/>
      <c r="C54" s="23"/>
      <c r="D54" s="23"/>
      <c r="E54" s="23"/>
      <c r="F54" s="23"/>
      <c r="G54" s="23"/>
      <c r="H54" s="23"/>
    </row>
    <row r="55" spans="1:8" x14ac:dyDescent="0.25">
      <c r="A55" s="23"/>
      <c r="B55" s="23"/>
      <c r="C55" s="23"/>
      <c r="D55" s="23"/>
      <c r="E55" s="23"/>
      <c r="F55" s="23"/>
      <c r="G55" s="23"/>
      <c r="H55" s="23"/>
    </row>
    <row r="56" spans="1:8" x14ac:dyDescent="0.25">
      <c r="A56" s="23"/>
      <c r="B56" s="23"/>
      <c r="C56" s="23"/>
      <c r="D56" s="23"/>
      <c r="E56" s="23"/>
      <c r="F56" s="23"/>
      <c r="G56" s="23"/>
      <c r="H56" s="23"/>
    </row>
    <row r="57" spans="1:8" x14ac:dyDescent="0.25">
      <c r="A57" s="23"/>
      <c r="B57" s="23"/>
      <c r="C57" s="23"/>
      <c r="D57" s="23"/>
      <c r="E57" s="23"/>
      <c r="F57" s="23"/>
      <c r="G57" s="23"/>
      <c r="H57" s="23"/>
    </row>
    <row r="58" spans="1:8" ht="31.5" x14ac:dyDescent="0.25">
      <c r="A58" s="28" t="s">
        <v>163</v>
      </c>
      <c r="B58" s="23"/>
      <c r="C58" s="23"/>
      <c r="D58" s="23"/>
      <c r="E58" s="23"/>
      <c r="F58" s="23"/>
      <c r="G58" s="23"/>
      <c r="H58" s="23"/>
    </row>
    <row r="59" spans="1:8" x14ac:dyDescent="0.25">
      <c r="A59" s="29"/>
      <c r="B59" s="23"/>
      <c r="C59" s="23"/>
      <c r="D59" s="23"/>
      <c r="E59" s="23"/>
      <c r="F59" s="23"/>
      <c r="G59" s="23"/>
      <c r="H59" s="23"/>
    </row>
    <row r="60" spans="1:8" x14ac:dyDescent="0.25">
      <c r="A60" s="29" t="s">
        <v>149</v>
      </c>
      <c r="B60" s="23"/>
      <c r="C60" s="23"/>
      <c r="D60" s="23"/>
      <c r="E60" s="23"/>
      <c r="F60" s="23"/>
      <c r="G60" s="23"/>
      <c r="H60" s="23"/>
    </row>
    <row r="61" spans="1:8" x14ac:dyDescent="0.25">
      <c r="A61" s="29" t="s">
        <v>150</v>
      </c>
      <c r="B61" s="23"/>
      <c r="C61" s="23"/>
      <c r="D61" s="23"/>
      <c r="E61" s="23"/>
      <c r="F61" s="23"/>
      <c r="G61" s="23"/>
      <c r="H61" s="23"/>
    </row>
    <row r="62" spans="1:8" x14ac:dyDescent="0.25">
      <c r="A62" s="23"/>
      <c r="B62" s="23"/>
      <c r="C62" s="23"/>
      <c r="D62" s="23"/>
      <c r="E62" s="23"/>
      <c r="F62" s="23"/>
      <c r="G62" s="23"/>
      <c r="H62" s="23"/>
    </row>
    <row r="63" spans="1:8" x14ac:dyDescent="0.25">
      <c r="A63" s="23"/>
      <c r="B63" s="23"/>
      <c r="C63" s="23"/>
      <c r="D63" s="23"/>
      <c r="E63" s="23"/>
      <c r="F63" s="23"/>
      <c r="G63" s="23"/>
      <c r="H63" s="23"/>
    </row>
    <row r="64" spans="1:8" x14ac:dyDescent="0.25">
      <c r="A64" s="23"/>
      <c r="B64" s="23"/>
      <c r="C64" s="23"/>
      <c r="D64" s="23"/>
      <c r="E64" s="23"/>
      <c r="F64" s="23"/>
      <c r="G64" s="23"/>
      <c r="H64" s="23"/>
    </row>
    <row r="65" spans="1:8" ht="31.5" x14ac:dyDescent="0.25">
      <c r="A65" s="28" t="s">
        <v>164</v>
      </c>
      <c r="B65" s="23"/>
      <c r="C65" s="23"/>
      <c r="D65" s="23"/>
      <c r="E65" s="23"/>
      <c r="F65" s="23"/>
      <c r="G65" s="23"/>
      <c r="H65" s="23"/>
    </row>
    <row r="66" spans="1:8" x14ac:dyDescent="0.25">
      <c r="A66" s="29"/>
      <c r="B66" s="23"/>
      <c r="C66" s="23"/>
      <c r="D66" s="23"/>
      <c r="E66" s="23"/>
      <c r="F66" s="23"/>
      <c r="G66" s="23"/>
      <c r="H66" s="23"/>
    </row>
    <row r="67" spans="1:8" x14ac:dyDescent="0.25">
      <c r="A67" s="29" t="s">
        <v>151</v>
      </c>
      <c r="B67" s="23"/>
      <c r="C67" s="23"/>
      <c r="D67" s="23"/>
      <c r="E67" s="23"/>
      <c r="F67" s="23"/>
      <c r="G67" s="23"/>
      <c r="H67" s="23"/>
    </row>
    <row r="68" spans="1:8" x14ac:dyDescent="0.25">
      <c r="A68" s="29" t="s">
        <v>152</v>
      </c>
      <c r="B68" s="23"/>
      <c r="C68" s="23"/>
      <c r="D68" s="23"/>
      <c r="E68" s="23"/>
      <c r="F68" s="23"/>
      <c r="G68" s="23"/>
      <c r="H68" s="23"/>
    </row>
    <row r="69" spans="1:8" x14ac:dyDescent="0.25">
      <c r="A69" s="23"/>
      <c r="B69" s="23"/>
      <c r="C69" s="23"/>
      <c r="D69" s="23"/>
      <c r="E69" s="23"/>
      <c r="F69" s="23"/>
      <c r="G69" s="23"/>
      <c r="H69" s="23"/>
    </row>
    <row r="70" spans="1:8" x14ac:dyDescent="0.25">
      <c r="A70" s="23"/>
      <c r="B70" s="23"/>
      <c r="C70" s="23"/>
      <c r="D70" s="23"/>
      <c r="E70" s="23"/>
      <c r="F70" s="23"/>
      <c r="G70" s="23"/>
      <c r="H70" s="23"/>
    </row>
    <row r="71" spans="1:8" x14ac:dyDescent="0.25">
      <c r="A71" s="23"/>
      <c r="B71" s="23"/>
      <c r="C71" s="23"/>
      <c r="D71" s="23"/>
      <c r="E71" s="23"/>
      <c r="F71" s="23"/>
      <c r="G71" s="23"/>
      <c r="H71" s="23"/>
    </row>
    <row r="72" spans="1:8" ht="31.5" x14ac:dyDescent="0.25">
      <c r="A72" s="28" t="s">
        <v>165</v>
      </c>
      <c r="B72" s="23"/>
      <c r="C72" s="23"/>
      <c r="D72" s="23"/>
      <c r="E72" s="23"/>
      <c r="F72" s="23"/>
      <c r="G72" s="23"/>
      <c r="H72" s="23"/>
    </row>
    <row r="73" spans="1:8" x14ac:dyDescent="0.25">
      <c r="A73" s="29"/>
      <c r="B73" s="23"/>
      <c r="C73" s="23"/>
      <c r="D73" s="23"/>
      <c r="E73" s="23"/>
      <c r="F73" s="23"/>
      <c r="G73" s="23"/>
      <c r="H73" s="23"/>
    </row>
    <row r="74" spans="1:8" x14ac:dyDescent="0.25">
      <c r="A74" s="29" t="s">
        <v>153</v>
      </c>
      <c r="B74" s="23"/>
      <c r="C74" s="23"/>
      <c r="D74" s="23"/>
      <c r="E74" s="23"/>
      <c r="F74" s="23"/>
      <c r="G74" s="23"/>
      <c r="H74" s="23"/>
    </row>
    <row r="75" spans="1:8" x14ac:dyDescent="0.25">
      <c r="A75" s="29" t="s">
        <v>154</v>
      </c>
      <c r="B75" s="23"/>
      <c r="C75" s="23"/>
      <c r="D75" s="23"/>
      <c r="E75" s="23"/>
      <c r="F75" s="23"/>
      <c r="G75" s="23"/>
      <c r="H75" s="23"/>
    </row>
    <row r="76" spans="1:8" x14ac:dyDescent="0.25">
      <c r="A76" s="29" t="s">
        <v>155</v>
      </c>
      <c r="B76" s="23"/>
      <c r="C76" s="23"/>
      <c r="D76" s="23"/>
      <c r="E76" s="23"/>
      <c r="F76" s="23"/>
      <c r="G76" s="23"/>
      <c r="H76" s="23"/>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Finance_data</vt:lpstr>
      <vt:lpstr>Basic</vt:lpstr>
      <vt:lpstr>Investment</vt:lpstr>
      <vt:lpstr>Strategic</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Pallavi Dash</dc:creator>
  <cp:lastModifiedBy>Priyadarshini Dash</cp:lastModifiedBy>
  <dcterms:created xsi:type="dcterms:W3CDTF">2026-03-21T08:08:57Z</dcterms:created>
  <dcterms:modified xsi:type="dcterms:W3CDTF">2026-03-26T06:26:48Z</dcterms:modified>
</cp:coreProperties>
</file>